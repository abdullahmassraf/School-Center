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ourse Material\Intro to Energy Systems\"/>
    </mc:Choice>
  </mc:AlternateContent>
  <xr:revisionPtr revIDLastSave="0" documentId="13_ncr:1_{B47C8931-AF3B-4149-8253-D1BA783251B7}" xr6:coauthVersionLast="47" xr6:coauthVersionMax="47" xr10:uidLastSave="{00000000-0000-0000-0000-000000000000}"/>
  <bookViews>
    <workbookView xWindow="-108" yWindow="-108" windowWidth="23256" windowHeight="13896" xr2:uid="{BA971775-978E-409E-A8FF-09101F0F0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4" i="1" l="1"/>
  <c r="B135" i="1"/>
  <c r="B13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</calcChain>
</file>

<file path=xl/sharedStrings.xml><?xml version="1.0" encoding="utf-8"?>
<sst xmlns="http://schemas.openxmlformats.org/spreadsheetml/2006/main" count="6" uniqueCount="6">
  <si>
    <t>Spectral Emissivity</t>
  </si>
  <si>
    <t>lambda</t>
  </si>
  <si>
    <t>Fbb</t>
  </si>
  <si>
    <t>C1</t>
  </si>
  <si>
    <t>C2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</si>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</sst>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Sheet1!$A$5:$A$132</c:f>
              <c:numCache>
                <c:formatCode>General</c:formatCode>
                <c:ptCount val="12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</c:numCache>
            </c:numRef>
          </c:xVal>
          <c:yVal>
            <c:numRef>
              <c:f>Sheet1!$B$5:$B$132</c:f>
              <c:numCache>
                <c:formatCode>0.00</c:formatCode>
                <c:ptCount val="128"/>
                <c:pt idx="0">
                  <c:v>4.8754276036835602E-34</c:v>
                </c:pt>
                <c:pt idx="1">
                  <c:v>7.5506312014675053E-14</c:v>
                </c:pt>
                <c:pt idx="2">
                  <c:v>1.6952502015638976E-7</c:v>
                </c:pt>
                <c:pt idx="3">
                  <c:v>1.6610914485537542E-4</c:v>
                </c:pt>
                <c:pt idx="4">
                  <c:v>8.0418419006175017E-3</c:v>
                </c:pt>
                <c:pt idx="5">
                  <c:v>9.0321406825112735E-2</c:v>
                </c:pt>
                <c:pt idx="6">
                  <c:v>0.45098071631779979</c:v>
                </c:pt>
                <c:pt idx="7">
                  <c:v>1.3772898031126077</c:v>
                </c:pt>
                <c:pt idx="8">
                  <c:v>3.0613280868913466</c:v>
                </c:pt>
                <c:pt idx="9">
                  <c:v>5.4859210438145931</c:v>
                </c:pt>
                <c:pt idx="10">
                  <c:v>8.4483580685093642</c:v>
                </c:pt>
                <c:pt idx="11">
                  <c:v>11.657335685673624</c:v>
                </c:pt>
                <c:pt idx="12">
                  <c:v>14.8260600846814</c:v>
                </c:pt>
                <c:pt idx="13">
                  <c:v>17.727860067536351</c:v>
                </c:pt>
                <c:pt idx="14">
                  <c:v>20.214877789049588</c:v>
                </c:pt>
                <c:pt idx="15">
                  <c:v>22.213026335719437</c:v>
                </c:pt>
                <c:pt idx="16">
                  <c:v>23.706153830554872</c:v>
                </c:pt>
                <c:pt idx="17">
                  <c:v>24.71797934106241</c:v>
                </c:pt>
                <c:pt idx="18">
                  <c:v>25.296162951524373</c:v>
                </c:pt>
                <c:pt idx="19">
                  <c:v>25.500060775668874</c:v>
                </c:pt>
                <c:pt idx="20">
                  <c:v>25.392201028000784</c:v>
                </c:pt>
                <c:pt idx="21">
                  <c:v>25.032871173385363</c:v>
                </c:pt>
                <c:pt idx="22">
                  <c:v>24.477042886822176</c:v>
                </c:pt>
                <c:pt idx="23">
                  <c:v>23.772923763684581</c:v>
                </c:pt>
                <c:pt idx="24">
                  <c:v>22.96156672036275</c:v>
                </c:pt>
                <c:pt idx="25">
                  <c:v>22.077118061460851</c:v>
                </c:pt>
                <c:pt idx="26">
                  <c:v>21.147413848800682</c:v>
                </c:pt>
                <c:pt idx="27">
                  <c:v>20.194733645100285</c:v>
                </c:pt>
                <c:pt idx="28">
                  <c:v>19.236592675086087</c:v>
                </c:pt>
                <c:pt idx="29">
                  <c:v>18.286503061774688</c:v>
                </c:pt>
                <c:pt idx="30">
                  <c:v>17.354667603904737</c:v>
                </c:pt>
                <c:pt idx="31">
                  <c:v>16.448590377560993</c:v>
                </c:pt>
                <c:pt idx="32">
                  <c:v>15.573601037885098</c:v>
                </c:pt>
                <c:pt idx="33">
                  <c:v>14.733296835928105</c:v>
                </c:pt>
                <c:pt idx="34">
                  <c:v>13.929910004593298</c:v>
                </c:pt>
                <c:pt idx="35">
                  <c:v>13.164609639699298</c:v>
                </c:pt>
                <c:pt idx="36">
                  <c:v>12.437747392894792</c:v>
                </c:pt>
                <c:pt idx="37">
                  <c:v>11.749055775102009</c:v>
                </c:pt>
                <c:pt idx="38">
                  <c:v>11.097807002339399</c:v>
                </c:pt>
                <c:pt idx="39">
                  <c:v>10.482939318890821</c:v>
                </c:pt>
                <c:pt idx="40">
                  <c:v>9.9031567327207881</c:v>
                </c:pt>
                <c:pt idx="41">
                  <c:v>9.3570071632866831</c:v>
                </c:pt>
                <c:pt idx="42">
                  <c:v>8.8429431648487622</c:v>
                </c:pt>
                <c:pt idx="43">
                  <c:v>8.3593686597953951</c:v>
                </c:pt>
                <c:pt idx="44">
                  <c:v>7.9046744948389689</c:v>
                </c:pt>
                <c:pt idx="45">
                  <c:v>7.4772651101712224</c:v>
                </c:pt>
                <c:pt idx="46">
                  <c:v>7.0755781768519714</c:v>
                </c:pt>
                <c:pt idx="47">
                  <c:v>6.6980986990827596</c:v>
                </c:pt>
                <c:pt idx="48">
                  <c:v>6.3433687841903659</c:v>
                </c:pt>
                <c:pt idx="49">
                  <c:v>6.0099940436796127</c:v>
                </c:pt>
                <c:pt idx="50">
                  <c:v>5.6966473943948106</c:v>
                </c:pt>
                <c:pt idx="51">
                  <c:v>5.4020708717084851</c:v>
                </c:pt>
                <c:pt idx="52">
                  <c:v>5.1250759400013948</c:v>
                </c:pt>
                <c:pt idx="53">
                  <c:v>4.8645426838741122</c:v>
                </c:pt>
                <c:pt idx="54">
                  <c:v>4.6194181818669655</c:v>
                </c:pt>
                <c:pt idx="55">
                  <c:v>4.3887142991181181</c:v>
                </c:pt>
                <c:pt idx="56">
                  <c:v>4.1715050832139786</c:v>
                </c:pt>
                <c:pt idx="57">
                  <c:v>3.9669239059197658</c:v>
                </c:pt>
                <c:pt idx="58">
                  <c:v>3.7741604604412182</c:v>
                </c:pt>
                <c:pt idx="59">
                  <c:v>3.5924576976775167</c:v>
                </c:pt>
                <c:pt idx="60">
                  <c:v>3.4211087642206159</c:v>
                </c:pt>
                <c:pt idx="61">
                  <c:v>3.2594539885415945</c:v>
                </c:pt>
                <c:pt idx="62">
                  <c:v>3.1068779489976608</c:v>
                </c:pt>
                <c:pt idx="63">
                  <c:v>2.9628066472852259</c:v>
                </c:pt>
                <c:pt idx="64">
                  <c:v>2.8267048031853381</c:v>
                </c:pt>
                <c:pt idx="65">
                  <c:v>2.698073280440981</c:v>
                </c:pt>
                <c:pt idx="66">
                  <c:v>2.576446649005439</c:v>
                </c:pt>
                <c:pt idx="67">
                  <c:v>2.4613908854136657</c:v>
                </c:pt>
                <c:pt idx="68">
                  <c:v>2.3525012104204492</c:v>
                </c:pt>
                <c:pt idx="69">
                  <c:v>2.2494000611323002</c:v>
                </c:pt>
                <c:pt idx="70">
                  <c:v>2.1517351934853375</c:v>
                </c:pt>
                <c:pt idx="71">
                  <c:v>2.0591779099695966</c:v>
                </c:pt>
                <c:pt idx="72">
                  <c:v>1.9714214068762743</c:v>
                </c:pt>
                <c:pt idx="73">
                  <c:v>1.8881792349731816</c:v>
                </c:pt>
                <c:pt idx="74">
                  <c:v>1.809183867335231</c:v>
                </c:pt>
                <c:pt idx="75">
                  <c:v>1.7341853680238475</c:v>
                </c:pt>
                <c:pt idx="76">
                  <c:v>1.6629501553844994</c:v>
                </c:pt>
                <c:pt idx="77">
                  <c:v>1.5952598538856968</c:v>
                </c:pt>
                <c:pt idx="78">
                  <c:v>1.5309102286329244</c:v>
                </c:pt>
                <c:pt idx="79">
                  <c:v>1.4697101969390467</c:v>
                </c:pt>
                <c:pt idx="80">
                  <c:v>1.4114809116050799</c:v>
                </c:pt>
                <c:pt idx="81">
                  <c:v>1.3560549108510223</c:v>
                </c:pt>
                <c:pt idx="82">
                  <c:v>1.3032753301277751</c:v>
                </c:pt>
                <c:pt idx="83">
                  <c:v>1.2529951713318823</c:v>
                </c:pt>
                <c:pt idx="84">
                  <c:v>1.2050766252303982</c:v>
                </c:pt>
                <c:pt idx="85">
                  <c:v>1.1593904431804718</c:v>
                </c:pt>
                <c:pt idx="86">
                  <c:v>1.1158153544948826</c:v>
                </c:pt>
                <c:pt idx="87">
                  <c:v>1.074237526059334</c:v>
                </c:pt>
                <c:pt idx="88">
                  <c:v>1.0345500610488192</c:v>
                </c:pt>
                <c:pt idx="89">
                  <c:v>0.99665253381843277</c:v>
                </c:pt>
                <c:pt idx="90">
                  <c:v>0.96045055825840631</c:v>
                </c:pt>
                <c:pt idx="91">
                  <c:v>0.92585538710404736</c:v>
                </c:pt>
                <c:pt idx="92">
                  <c:v>0.89278353987899339</c:v>
                </c:pt>
                <c:pt idx="93">
                  <c:v>0.86115645732515644</c:v>
                </c:pt>
                <c:pt idx="94">
                  <c:v>0.83090018033546698</c:v>
                </c:pt>
                <c:pt idx="95">
                  <c:v>0.80194505155666895</c:v>
                </c:pt>
                <c:pt idx="96">
                  <c:v>0.77422543796951426</c:v>
                </c:pt>
                <c:pt idx="97">
                  <c:v>0.74767947288347147</c:v>
                </c:pt>
                <c:pt idx="98">
                  <c:v>0.72224881590309453</c:v>
                </c:pt>
                <c:pt idx="99">
                  <c:v>0.69787842953413526</c:v>
                </c:pt>
                <c:pt idx="100">
                  <c:v>0.67451637119995278</c:v>
                </c:pt>
                <c:pt idx="101">
                  <c:v>0.6521135995333488</c:v>
                </c:pt>
                <c:pt idx="102">
                  <c:v>0.6306237938962066</c:v>
                </c:pt>
                <c:pt idx="103">
                  <c:v>0.61000318615978721</c:v>
                </c:pt>
                <c:pt idx="104">
                  <c:v>0.59021040385270174</c:v>
                </c:pt>
                <c:pt idx="105">
                  <c:v>0.5712063238519639</c:v>
                </c:pt>
                <c:pt idx="106">
                  <c:v>0.55295393585551755</c:v>
                </c:pt>
                <c:pt idx="107">
                  <c:v>0.53541821493269903</c:v>
                </c:pt>
                <c:pt idx="108">
                  <c:v>0.51856600250257157</c:v>
                </c:pt>
                <c:pt idx="109">
                  <c:v>0.50236589513934948</c:v>
                </c:pt>
                <c:pt idx="110">
                  <c:v>0.48678814064953813</c:v>
                </c:pt>
                <c:pt idx="111">
                  <c:v>0.47180454090724017</c:v>
                </c:pt>
                <c:pt idx="112">
                  <c:v>0.45738836097263769</c:v>
                </c:pt>
                <c:pt idx="113">
                  <c:v>0.44351424405418188</c:v>
                </c:pt>
                <c:pt idx="114">
                  <c:v>0.43015813190776903</c:v>
                </c:pt>
                <c:pt idx="115">
                  <c:v>0.41729719029637524</c:v>
                </c:pt>
                <c:pt idx="116">
                  <c:v>0.40490973916145251</c:v>
                </c:pt>
                <c:pt idx="117">
                  <c:v>0.39297518718306801</c:v>
                </c:pt>
                <c:pt idx="118">
                  <c:v>0.38147397042944575</c:v>
                </c:pt>
                <c:pt idx="119">
                  <c:v>0.3703874948184282</c:v>
                </c:pt>
                <c:pt idx="120">
                  <c:v>0.3596980821335366</c:v>
                </c:pt>
                <c:pt idx="121">
                  <c:v>0.3493889193559363</c:v>
                </c:pt>
                <c:pt idx="122">
                  <c:v>0.33944401109080052</c:v>
                </c:pt>
                <c:pt idx="123">
                  <c:v>0.32984813488245224</c:v>
                </c:pt>
                <c:pt idx="124">
                  <c:v>0.3205867992273404</c:v>
                </c:pt>
                <c:pt idx="125">
                  <c:v>0.31164620410746802</c:v>
                </c:pt>
                <c:pt idx="126">
                  <c:v>0.30301320387943498</c:v>
                </c:pt>
                <c:pt idx="127">
                  <c:v>0.29467527236585322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A-4106-8A36-255453B00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269071"/>
        <c:axId val="447266575"/>
      </c:scatterChart>
      <c:valAx>
        <c:axId val="44726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66575"/>
        <c:crosses val="autoZero"/>
        <c:crossBetween val="midCat"/>
      </c:valAx>
      <c:valAx>
        <c:axId val="4472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6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146050</xdr:rowOff>
    </xdr:from>
    <xdr:to>
      <xdr:col>13</xdr:col>
      <xdr:colOff>231775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FB093-82E0-4EA4-8C58-AB0B7C9E0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E324-19D7-4A16-A6D7-A90B25E782BE}">
  <sheetPr codeName="Sheet1"/>
  <dimension ref="A1:F464"/>
  <sheetViews>
    <sheetView tabSelected="1" workbookViewId="0">
      <selection activeCell="A5" sqref="A5"/>
    </sheetView>
  </sheetViews>
  <sheetFormatPr defaultRowHeight="14.4" x14ac:dyDescent="0.3"/>
  <cols>
    <col min="4" max="4" width="11.77734375" bestFit="1" customWidth="1"/>
  </cols>
  <sheetData>
    <row r="1" spans="1:4" x14ac:dyDescent="0.3">
      <c r="A1" t="s">
        <v>0</v>
      </c>
      <c r="C1" t="s">
        <v>5</v>
      </c>
      <c r="D1">
        <v>288</v>
      </c>
    </row>
    <row r="2" spans="1:4" x14ac:dyDescent="0.3">
      <c r="C2" t="s">
        <v>3</v>
      </c>
      <c r="D2" s="2">
        <v>374200000</v>
      </c>
    </row>
    <row r="3" spans="1:4" x14ac:dyDescent="0.3">
      <c r="C3" t="s">
        <v>4</v>
      </c>
      <c r="D3" s="2">
        <v>14387</v>
      </c>
    </row>
    <row r="4" spans="1:4" x14ac:dyDescent="0.3">
      <c r="A4" t="s">
        <v>1</v>
      </c>
      <c r="B4" t="s">
        <v>2</v>
      </c>
    </row>
    <row r="5" spans="1:4" x14ac:dyDescent="0.3">
      <c r="A5">
        <v>0.5</v>
      </c>
      <c r="B5" s="1">
        <f t="shared" ref="B5:B69" si="0">$D$2*A5^(-5)/(EXP($D$3/A5/$D$1)-1)</f>
        <v>4.8754276036835602E-34</v>
      </c>
    </row>
    <row r="6" spans="1:4" x14ac:dyDescent="0.3">
      <c r="A6">
        <v>1</v>
      </c>
      <c r="B6" s="1">
        <f t="shared" si="0"/>
        <v>7.5506312014675053E-14</v>
      </c>
    </row>
    <row r="7" spans="1:4" x14ac:dyDescent="0.3">
      <c r="A7">
        <v>1.5</v>
      </c>
      <c r="B7" s="1">
        <f t="shared" si="0"/>
        <v>1.6952502015638976E-7</v>
      </c>
    </row>
    <row r="8" spans="1:4" x14ac:dyDescent="0.3">
      <c r="A8">
        <v>2</v>
      </c>
      <c r="B8" s="1">
        <f t="shared" si="0"/>
        <v>1.6610914485537542E-4</v>
      </c>
    </row>
    <row r="9" spans="1:4" x14ac:dyDescent="0.3">
      <c r="A9">
        <v>2.5</v>
      </c>
      <c r="B9" s="1">
        <f t="shared" si="0"/>
        <v>8.0418419006175017E-3</v>
      </c>
    </row>
    <row r="10" spans="1:4" x14ac:dyDescent="0.3">
      <c r="A10">
        <v>3</v>
      </c>
      <c r="B10" s="1">
        <f t="shared" si="0"/>
        <v>9.0321406825112735E-2</v>
      </c>
    </row>
    <row r="11" spans="1:4" x14ac:dyDescent="0.3">
      <c r="A11">
        <v>3.5</v>
      </c>
      <c r="B11" s="1">
        <f t="shared" si="0"/>
        <v>0.45098071631779979</v>
      </c>
    </row>
    <row r="12" spans="1:4" x14ac:dyDescent="0.3">
      <c r="A12">
        <v>4</v>
      </c>
      <c r="B12" s="1">
        <f t="shared" si="0"/>
        <v>1.3772898031126077</v>
      </c>
    </row>
    <row r="13" spans="1:4" x14ac:dyDescent="0.3">
      <c r="A13">
        <v>4.5</v>
      </c>
      <c r="B13" s="1">
        <f t="shared" si="0"/>
        <v>3.0613280868913466</v>
      </c>
    </row>
    <row r="14" spans="1:4" x14ac:dyDescent="0.3">
      <c r="A14">
        <v>5</v>
      </c>
      <c r="B14" s="1">
        <f t="shared" si="0"/>
        <v>5.4859210438145931</v>
      </c>
    </row>
    <row r="15" spans="1:4" x14ac:dyDescent="0.3">
      <c r="A15">
        <v>5.5</v>
      </c>
      <c r="B15" s="1">
        <f t="shared" si="0"/>
        <v>8.4483580685093642</v>
      </c>
    </row>
    <row r="16" spans="1:4" x14ac:dyDescent="0.3">
      <c r="A16">
        <v>6</v>
      </c>
      <c r="B16" s="1">
        <f t="shared" si="0"/>
        <v>11.657335685673624</v>
      </c>
    </row>
    <row r="17" spans="1:2" x14ac:dyDescent="0.3">
      <c r="A17">
        <v>6.5</v>
      </c>
      <c r="B17" s="1">
        <f t="shared" si="0"/>
        <v>14.8260600846814</v>
      </c>
    </row>
    <row r="18" spans="1:2" x14ac:dyDescent="0.3">
      <c r="A18">
        <v>7</v>
      </c>
      <c r="B18" s="1">
        <f t="shared" si="0"/>
        <v>17.727860067536351</v>
      </c>
    </row>
    <row r="19" spans="1:2" x14ac:dyDescent="0.3">
      <c r="A19">
        <v>7.5</v>
      </c>
      <c r="B19" s="1">
        <f t="shared" si="0"/>
        <v>20.214877789049588</v>
      </c>
    </row>
    <row r="20" spans="1:2" x14ac:dyDescent="0.3">
      <c r="A20">
        <v>8</v>
      </c>
      <c r="B20" s="1">
        <f t="shared" si="0"/>
        <v>22.213026335719437</v>
      </c>
    </row>
    <row r="21" spans="1:2" x14ac:dyDescent="0.3">
      <c r="A21">
        <v>8.5</v>
      </c>
      <c r="B21" s="1">
        <f t="shared" si="0"/>
        <v>23.706153830554872</v>
      </c>
    </row>
    <row r="22" spans="1:2" x14ac:dyDescent="0.3">
      <c r="A22">
        <v>9</v>
      </c>
      <c r="B22" s="1">
        <f t="shared" si="0"/>
        <v>24.71797934106241</v>
      </c>
    </row>
    <row r="23" spans="1:2" x14ac:dyDescent="0.3">
      <c r="A23">
        <v>9.5</v>
      </c>
      <c r="B23" s="1">
        <f t="shared" si="0"/>
        <v>25.296162951524373</v>
      </c>
    </row>
    <row r="24" spans="1:2" x14ac:dyDescent="0.3">
      <c r="A24">
        <v>10</v>
      </c>
      <c r="B24" s="1">
        <f t="shared" si="0"/>
        <v>25.500060775668874</v>
      </c>
    </row>
    <row r="25" spans="1:2" x14ac:dyDescent="0.3">
      <c r="A25">
        <v>10.5</v>
      </c>
      <c r="B25" s="1">
        <f t="shared" si="0"/>
        <v>25.392201028000784</v>
      </c>
    </row>
    <row r="26" spans="1:2" x14ac:dyDescent="0.3">
      <c r="A26">
        <v>11</v>
      </c>
      <c r="B26" s="1">
        <f t="shared" si="0"/>
        <v>25.032871173385363</v>
      </c>
    </row>
    <row r="27" spans="1:2" x14ac:dyDescent="0.3">
      <c r="A27">
        <v>11.5</v>
      </c>
      <c r="B27" s="1">
        <f t="shared" si="0"/>
        <v>24.477042886822176</v>
      </c>
    </row>
    <row r="28" spans="1:2" x14ac:dyDescent="0.3">
      <c r="A28">
        <v>12</v>
      </c>
      <c r="B28" s="1">
        <f t="shared" si="0"/>
        <v>23.772923763684581</v>
      </c>
    </row>
    <row r="29" spans="1:2" x14ac:dyDescent="0.3">
      <c r="A29">
        <v>12.5</v>
      </c>
      <c r="B29" s="1">
        <f t="shared" si="0"/>
        <v>22.96156672036275</v>
      </c>
    </row>
    <row r="30" spans="1:2" x14ac:dyDescent="0.3">
      <c r="A30">
        <v>13</v>
      </c>
      <c r="B30" s="1">
        <f t="shared" si="0"/>
        <v>22.077118061460851</v>
      </c>
    </row>
    <row r="31" spans="1:2" x14ac:dyDescent="0.3">
      <c r="A31">
        <v>13.5</v>
      </c>
      <c r="B31" s="1">
        <f t="shared" si="0"/>
        <v>21.147413848800682</v>
      </c>
    </row>
    <row r="32" spans="1:2" x14ac:dyDescent="0.3">
      <c r="A32">
        <v>14</v>
      </c>
      <c r="B32" s="1">
        <f t="shared" si="0"/>
        <v>20.194733645100285</v>
      </c>
    </row>
    <row r="33" spans="1:2" x14ac:dyDescent="0.3">
      <c r="A33">
        <v>14.5</v>
      </c>
      <c r="B33" s="1">
        <f t="shared" si="0"/>
        <v>19.236592675086087</v>
      </c>
    </row>
    <row r="34" spans="1:2" x14ac:dyDescent="0.3">
      <c r="A34">
        <v>15</v>
      </c>
      <c r="B34" s="1">
        <f t="shared" si="0"/>
        <v>18.286503061774688</v>
      </c>
    </row>
    <row r="35" spans="1:2" x14ac:dyDescent="0.3">
      <c r="A35">
        <v>15.5</v>
      </c>
      <c r="B35" s="1">
        <f t="shared" si="0"/>
        <v>17.354667603904737</v>
      </c>
    </row>
    <row r="36" spans="1:2" x14ac:dyDescent="0.3">
      <c r="A36">
        <v>16</v>
      </c>
      <c r="B36" s="1">
        <f t="shared" si="0"/>
        <v>16.448590377560993</v>
      </c>
    </row>
    <row r="37" spans="1:2" x14ac:dyDescent="0.3">
      <c r="A37">
        <v>16.5</v>
      </c>
      <c r="B37" s="1">
        <f t="shared" si="0"/>
        <v>15.573601037885098</v>
      </c>
    </row>
    <row r="38" spans="1:2" x14ac:dyDescent="0.3">
      <c r="A38">
        <v>17</v>
      </c>
      <c r="B38" s="1">
        <f t="shared" si="0"/>
        <v>14.733296835928105</v>
      </c>
    </row>
    <row r="39" spans="1:2" x14ac:dyDescent="0.3">
      <c r="A39">
        <v>17.5</v>
      </c>
      <c r="B39" s="1">
        <f t="shared" si="0"/>
        <v>13.929910004593298</v>
      </c>
    </row>
    <row r="40" spans="1:2" x14ac:dyDescent="0.3">
      <c r="A40">
        <v>18</v>
      </c>
      <c r="B40" s="1">
        <f t="shared" si="0"/>
        <v>13.164609639699298</v>
      </c>
    </row>
    <row r="41" spans="1:2" x14ac:dyDescent="0.3">
      <c r="A41">
        <v>18.5</v>
      </c>
      <c r="B41" s="1">
        <f t="shared" si="0"/>
        <v>12.437747392894792</v>
      </c>
    </row>
    <row r="42" spans="1:2" x14ac:dyDescent="0.3">
      <c r="A42">
        <v>19</v>
      </c>
      <c r="B42" s="1">
        <f t="shared" si="0"/>
        <v>11.749055775102009</v>
      </c>
    </row>
    <row r="43" spans="1:2" x14ac:dyDescent="0.3">
      <c r="A43">
        <v>19.5</v>
      </c>
      <c r="B43" s="1">
        <f t="shared" si="0"/>
        <v>11.097807002339399</v>
      </c>
    </row>
    <row r="44" spans="1:2" x14ac:dyDescent="0.3">
      <c r="A44">
        <v>20</v>
      </c>
      <c r="B44" s="1">
        <f t="shared" si="0"/>
        <v>10.482939318890821</v>
      </c>
    </row>
    <row r="45" spans="1:2" x14ac:dyDescent="0.3">
      <c r="A45">
        <v>20.5</v>
      </c>
      <c r="B45" s="1">
        <f t="shared" si="0"/>
        <v>9.9031567327207881</v>
      </c>
    </row>
    <row r="46" spans="1:2" x14ac:dyDescent="0.3">
      <c r="A46">
        <v>21</v>
      </c>
      <c r="B46" s="1">
        <f t="shared" si="0"/>
        <v>9.3570071632866831</v>
      </c>
    </row>
    <row r="47" spans="1:2" x14ac:dyDescent="0.3">
      <c r="A47">
        <v>21.5</v>
      </c>
      <c r="B47" s="1">
        <f t="shared" si="0"/>
        <v>8.8429431648487622</v>
      </c>
    </row>
    <row r="48" spans="1:2" x14ac:dyDescent="0.3">
      <c r="A48">
        <v>22</v>
      </c>
      <c r="B48" s="1">
        <f t="shared" si="0"/>
        <v>8.3593686597953951</v>
      </c>
    </row>
    <row r="49" spans="1:2" x14ac:dyDescent="0.3">
      <c r="A49">
        <v>22.5</v>
      </c>
      <c r="B49" s="1">
        <f t="shared" si="0"/>
        <v>7.9046744948389689</v>
      </c>
    </row>
    <row r="50" spans="1:2" x14ac:dyDescent="0.3">
      <c r="A50">
        <v>23</v>
      </c>
      <c r="B50" s="1">
        <f t="shared" si="0"/>
        <v>7.4772651101712224</v>
      </c>
    </row>
    <row r="51" spans="1:2" x14ac:dyDescent="0.3">
      <c r="A51">
        <v>23.5</v>
      </c>
      <c r="B51" s="1">
        <f t="shared" si="0"/>
        <v>7.0755781768519714</v>
      </c>
    </row>
    <row r="52" spans="1:2" x14ac:dyDescent="0.3">
      <c r="A52">
        <v>24</v>
      </c>
      <c r="B52" s="1">
        <f t="shared" si="0"/>
        <v>6.6980986990827596</v>
      </c>
    </row>
    <row r="53" spans="1:2" x14ac:dyDescent="0.3">
      <c r="A53">
        <v>24.5</v>
      </c>
      <c r="B53" s="1">
        <f t="shared" si="0"/>
        <v>6.3433687841903659</v>
      </c>
    </row>
    <row r="54" spans="1:2" x14ac:dyDescent="0.3">
      <c r="A54">
        <v>25</v>
      </c>
      <c r="B54" s="1">
        <f t="shared" si="0"/>
        <v>6.0099940436796127</v>
      </c>
    </row>
    <row r="55" spans="1:2" x14ac:dyDescent="0.3">
      <c r="A55">
        <v>25.5</v>
      </c>
      <c r="B55" s="1">
        <f t="shared" si="0"/>
        <v>5.6966473943948106</v>
      </c>
    </row>
    <row r="56" spans="1:2" x14ac:dyDescent="0.3">
      <c r="A56">
        <v>26</v>
      </c>
      <c r="B56" s="1">
        <f t="shared" si="0"/>
        <v>5.4020708717084851</v>
      </c>
    </row>
    <row r="57" spans="1:2" x14ac:dyDescent="0.3">
      <c r="A57">
        <v>26.5</v>
      </c>
      <c r="B57" s="1">
        <f t="shared" si="0"/>
        <v>5.1250759400013948</v>
      </c>
    </row>
    <row r="58" spans="1:2" x14ac:dyDescent="0.3">
      <c r="A58">
        <v>27</v>
      </c>
      <c r="B58" s="1">
        <f t="shared" si="0"/>
        <v>4.8645426838741122</v>
      </c>
    </row>
    <row r="59" spans="1:2" x14ac:dyDescent="0.3">
      <c r="A59">
        <v>27.5</v>
      </c>
      <c r="B59" s="1">
        <f t="shared" si="0"/>
        <v>4.6194181818669655</v>
      </c>
    </row>
    <row r="60" spans="1:2" x14ac:dyDescent="0.3">
      <c r="A60">
        <v>28</v>
      </c>
      <c r="B60" s="1">
        <f t="shared" si="0"/>
        <v>4.3887142991181181</v>
      </c>
    </row>
    <row r="61" spans="1:2" x14ac:dyDescent="0.3">
      <c r="A61">
        <v>28.5</v>
      </c>
      <c r="B61" s="1">
        <f t="shared" si="0"/>
        <v>4.1715050832139786</v>
      </c>
    </row>
    <row r="62" spans="1:2" x14ac:dyDescent="0.3">
      <c r="A62">
        <v>29</v>
      </c>
      <c r="B62" s="1">
        <f t="shared" si="0"/>
        <v>3.9669239059197658</v>
      </c>
    </row>
    <row r="63" spans="1:2" x14ac:dyDescent="0.3">
      <c r="A63">
        <v>29.5</v>
      </c>
      <c r="B63" s="1">
        <f t="shared" si="0"/>
        <v>3.7741604604412182</v>
      </c>
    </row>
    <row r="64" spans="1:2" x14ac:dyDescent="0.3">
      <c r="A64">
        <v>30</v>
      </c>
      <c r="B64" s="1">
        <f t="shared" si="0"/>
        <v>3.5924576976775167</v>
      </c>
    </row>
    <row r="65" spans="1:2" x14ac:dyDescent="0.3">
      <c r="A65">
        <v>30.5</v>
      </c>
      <c r="B65" s="1">
        <f t="shared" si="0"/>
        <v>3.4211087642206159</v>
      </c>
    </row>
    <row r="66" spans="1:2" x14ac:dyDescent="0.3">
      <c r="A66">
        <v>31</v>
      </c>
      <c r="B66" s="1">
        <f t="shared" si="0"/>
        <v>3.2594539885415945</v>
      </c>
    </row>
    <row r="67" spans="1:2" x14ac:dyDescent="0.3">
      <c r="A67">
        <v>31.5</v>
      </c>
      <c r="B67" s="1">
        <f t="shared" si="0"/>
        <v>3.1068779489976608</v>
      </c>
    </row>
    <row r="68" spans="1:2" x14ac:dyDescent="0.3">
      <c r="A68">
        <v>32</v>
      </c>
      <c r="B68" s="1">
        <f t="shared" si="0"/>
        <v>2.9628066472852259</v>
      </c>
    </row>
    <row r="69" spans="1:2" x14ac:dyDescent="0.3">
      <c r="A69">
        <v>32.5</v>
      </c>
      <c r="B69" s="1">
        <f t="shared" si="0"/>
        <v>2.8267048031853381</v>
      </c>
    </row>
    <row r="70" spans="1:2" x14ac:dyDescent="0.3">
      <c r="A70">
        <v>33</v>
      </c>
      <c r="B70" s="1">
        <f t="shared" ref="B70:B132" si="1">$D$2*A70^(-5)/(EXP($D$3/A70/$D$1)-1)</f>
        <v>2.698073280440981</v>
      </c>
    </row>
    <row r="71" spans="1:2" x14ac:dyDescent="0.3">
      <c r="A71">
        <v>33.5</v>
      </c>
      <c r="B71" s="1">
        <f t="shared" si="1"/>
        <v>2.576446649005439</v>
      </c>
    </row>
    <row r="72" spans="1:2" x14ac:dyDescent="0.3">
      <c r="A72">
        <v>34</v>
      </c>
      <c r="B72" s="1">
        <f t="shared" si="1"/>
        <v>2.4613908854136657</v>
      </c>
    </row>
    <row r="73" spans="1:2" x14ac:dyDescent="0.3">
      <c r="A73">
        <v>34.5</v>
      </c>
      <c r="B73" s="1">
        <f t="shared" si="1"/>
        <v>2.3525012104204492</v>
      </c>
    </row>
    <row r="74" spans="1:2" x14ac:dyDescent="0.3">
      <c r="A74">
        <v>35</v>
      </c>
      <c r="B74" s="1">
        <f t="shared" si="1"/>
        <v>2.2494000611323002</v>
      </c>
    </row>
    <row r="75" spans="1:2" x14ac:dyDescent="0.3">
      <c r="A75">
        <v>35.5</v>
      </c>
      <c r="B75" s="1">
        <f t="shared" si="1"/>
        <v>2.1517351934853375</v>
      </c>
    </row>
    <row r="76" spans="1:2" x14ac:dyDescent="0.3">
      <c r="A76">
        <v>36</v>
      </c>
      <c r="B76" s="1">
        <f t="shared" si="1"/>
        <v>2.0591779099695966</v>
      </c>
    </row>
    <row r="77" spans="1:2" x14ac:dyDescent="0.3">
      <c r="A77">
        <v>36.5</v>
      </c>
      <c r="B77" s="1">
        <f t="shared" si="1"/>
        <v>1.9714214068762743</v>
      </c>
    </row>
    <row r="78" spans="1:2" x14ac:dyDescent="0.3">
      <c r="A78">
        <v>37</v>
      </c>
      <c r="B78" s="1">
        <f t="shared" si="1"/>
        <v>1.8881792349731816</v>
      </c>
    </row>
    <row r="79" spans="1:2" x14ac:dyDescent="0.3">
      <c r="A79">
        <v>37.5</v>
      </c>
      <c r="B79" s="1">
        <f t="shared" si="1"/>
        <v>1.809183867335231</v>
      </c>
    </row>
    <row r="80" spans="1:2" x14ac:dyDescent="0.3">
      <c r="A80">
        <v>38</v>
      </c>
      <c r="B80" s="1">
        <f t="shared" si="1"/>
        <v>1.7341853680238475</v>
      </c>
    </row>
    <row r="81" spans="1:2" x14ac:dyDescent="0.3">
      <c r="A81">
        <v>38.5</v>
      </c>
      <c r="B81" s="1">
        <f t="shared" si="1"/>
        <v>1.6629501553844994</v>
      </c>
    </row>
    <row r="82" spans="1:2" x14ac:dyDescent="0.3">
      <c r="A82">
        <v>39</v>
      </c>
      <c r="B82" s="1">
        <f t="shared" si="1"/>
        <v>1.5952598538856968</v>
      </c>
    </row>
    <row r="83" spans="1:2" x14ac:dyDescent="0.3">
      <c r="A83">
        <v>39.5</v>
      </c>
      <c r="B83" s="1">
        <f t="shared" si="1"/>
        <v>1.5309102286329244</v>
      </c>
    </row>
    <row r="84" spans="1:2" x14ac:dyDescent="0.3">
      <c r="A84">
        <v>40</v>
      </c>
      <c r="B84" s="1">
        <f t="shared" si="1"/>
        <v>1.4697101969390467</v>
      </c>
    </row>
    <row r="85" spans="1:2" x14ac:dyDescent="0.3">
      <c r="A85">
        <v>40.5</v>
      </c>
      <c r="B85" s="1">
        <f t="shared" si="1"/>
        <v>1.4114809116050799</v>
      </c>
    </row>
    <row r="86" spans="1:2" x14ac:dyDescent="0.3">
      <c r="A86">
        <v>41</v>
      </c>
      <c r="B86" s="1">
        <f t="shared" si="1"/>
        <v>1.3560549108510223</v>
      </c>
    </row>
    <row r="87" spans="1:2" x14ac:dyDescent="0.3">
      <c r="A87">
        <v>41.5</v>
      </c>
      <c r="B87" s="1">
        <f t="shared" si="1"/>
        <v>1.3032753301277751</v>
      </c>
    </row>
    <row r="88" spans="1:2" x14ac:dyDescent="0.3">
      <c r="A88">
        <v>42</v>
      </c>
      <c r="B88" s="1">
        <f t="shared" si="1"/>
        <v>1.2529951713318823</v>
      </c>
    </row>
    <row r="89" spans="1:2" x14ac:dyDescent="0.3">
      <c r="A89">
        <v>42.5</v>
      </c>
      <c r="B89" s="1">
        <f t="shared" si="1"/>
        <v>1.2050766252303982</v>
      </c>
    </row>
    <row r="90" spans="1:2" x14ac:dyDescent="0.3">
      <c r="A90">
        <v>43</v>
      </c>
      <c r="B90" s="1">
        <f t="shared" si="1"/>
        <v>1.1593904431804718</v>
      </c>
    </row>
    <row r="91" spans="1:2" x14ac:dyDescent="0.3">
      <c r="A91">
        <v>43.5</v>
      </c>
      <c r="B91" s="1">
        <f t="shared" si="1"/>
        <v>1.1158153544948826</v>
      </c>
    </row>
    <row r="92" spans="1:2" x14ac:dyDescent="0.3">
      <c r="A92">
        <v>44</v>
      </c>
      <c r="B92" s="1">
        <f t="shared" si="1"/>
        <v>1.074237526059334</v>
      </c>
    </row>
    <row r="93" spans="1:2" x14ac:dyDescent="0.3">
      <c r="A93">
        <v>44.5</v>
      </c>
      <c r="B93" s="1">
        <f t="shared" si="1"/>
        <v>1.0345500610488192</v>
      </c>
    </row>
    <row r="94" spans="1:2" x14ac:dyDescent="0.3">
      <c r="A94">
        <v>45</v>
      </c>
      <c r="B94" s="1">
        <f t="shared" si="1"/>
        <v>0.99665253381843277</v>
      </c>
    </row>
    <row r="95" spans="1:2" x14ac:dyDescent="0.3">
      <c r="A95">
        <v>45.5</v>
      </c>
      <c r="B95" s="1">
        <f t="shared" si="1"/>
        <v>0.96045055825840631</v>
      </c>
    </row>
    <row r="96" spans="1:2" x14ac:dyDescent="0.3">
      <c r="A96">
        <v>46</v>
      </c>
      <c r="B96" s="1">
        <f t="shared" si="1"/>
        <v>0.92585538710404736</v>
      </c>
    </row>
    <row r="97" spans="1:2" x14ac:dyDescent="0.3">
      <c r="A97">
        <v>46.5</v>
      </c>
      <c r="B97" s="1">
        <f t="shared" si="1"/>
        <v>0.89278353987899339</v>
      </c>
    </row>
    <row r="98" spans="1:2" x14ac:dyDescent="0.3">
      <c r="A98">
        <v>47</v>
      </c>
      <c r="B98" s="1">
        <f t="shared" si="1"/>
        <v>0.86115645732515644</v>
      </c>
    </row>
    <row r="99" spans="1:2" x14ac:dyDescent="0.3">
      <c r="A99">
        <v>47.5</v>
      </c>
      <c r="B99" s="1">
        <f t="shared" si="1"/>
        <v>0.83090018033546698</v>
      </c>
    </row>
    <row r="100" spans="1:2" x14ac:dyDescent="0.3">
      <c r="A100">
        <v>48</v>
      </c>
      <c r="B100" s="1">
        <f t="shared" si="1"/>
        <v>0.80194505155666895</v>
      </c>
    </row>
    <row r="101" spans="1:2" x14ac:dyDescent="0.3">
      <c r="A101">
        <v>48.5</v>
      </c>
      <c r="B101" s="1">
        <f t="shared" si="1"/>
        <v>0.77422543796951426</v>
      </c>
    </row>
    <row r="102" spans="1:2" x14ac:dyDescent="0.3">
      <c r="A102">
        <v>49</v>
      </c>
      <c r="B102" s="1">
        <f t="shared" si="1"/>
        <v>0.74767947288347147</v>
      </c>
    </row>
    <row r="103" spans="1:2" x14ac:dyDescent="0.3">
      <c r="A103">
        <v>49.5</v>
      </c>
      <c r="B103" s="1">
        <f t="shared" si="1"/>
        <v>0.72224881590309453</v>
      </c>
    </row>
    <row r="104" spans="1:2" x14ac:dyDescent="0.3">
      <c r="A104">
        <v>50</v>
      </c>
      <c r="B104" s="1">
        <f t="shared" si="1"/>
        <v>0.69787842953413526</v>
      </c>
    </row>
    <row r="105" spans="1:2" x14ac:dyDescent="0.3">
      <c r="A105">
        <v>50.5</v>
      </c>
      <c r="B105" s="1">
        <f t="shared" si="1"/>
        <v>0.67451637119995278</v>
      </c>
    </row>
    <row r="106" spans="1:2" x14ac:dyDescent="0.3">
      <c r="A106">
        <v>51</v>
      </c>
      <c r="B106" s="1">
        <f t="shared" si="1"/>
        <v>0.6521135995333488</v>
      </c>
    </row>
    <row r="107" spans="1:2" x14ac:dyDescent="0.3">
      <c r="A107">
        <v>51.5</v>
      </c>
      <c r="B107" s="1">
        <f t="shared" si="1"/>
        <v>0.6306237938962066</v>
      </c>
    </row>
    <row r="108" spans="1:2" x14ac:dyDescent="0.3">
      <c r="A108">
        <v>52</v>
      </c>
      <c r="B108" s="1">
        <f t="shared" si="1"/>
        <v>0.61000318615978721</v>
      </c>
    </row>
    <row r="109" spans="1:2" x14ac:dyDescent="0.3">
      <c r="A109">
        <v>52.5</v>
      </c>
      <c r="B109" s="1">
        <f t="shared" si="1"/>
        <v>0.59021040385270174</v>
      </c>
    </row>
    <row r="110" spans="1:2" x14ac:dyDescent="0.3">
      <c r="A110">
        <v>53</v>
      </c>
      <c r="B110" s="1">
        <f t="shared" si="1"/>
        <v>0.5712063238519639</v>
      </c>
    </row>
    <row r="111" spans="1:2" x14ac:dyDescent="0.3">
      <c r="A111">
        <v>53.5</v>
      </c>
      <c r="B111" s="1">
        <f t="shared" si="1"/>
        <v>0.55295393585551755</v>
      </c>
    </row>
    <row r="112" spans="1:2" x14ac:dyDescent="0.3">
      <c r="A112">
        <v>54</v>
      </c>
      <c r="B112" s="1">
        <f t="shared" si="1"/>
        <v>0.53541821493269903</v>
      </c>
    </row>
    <row r="113" spans="1:2" x14ac:dyDescent="0.3">
      <c r="A113">
        <v>54.5</v>
      </c>
      <c r="B113" s="1">
        <f t="shared" si="1"/>
        <v>0.51856600250257157</v>
      </c>
    </row>
    <row r="114" spans="1:2" x14ac:dyDescent="0.3">
      <c r="A114">
        <v>55</v>
      </c>
      <c r="B114" s="1">
        <f t="shared" si="1"/>
        <v>0.50236589513934948</v>
      </c>
    </row>
    <row r="115" spans="1:2" x14ac:dyDescent="0.3">
      <c r="A115">
        <v>55.5</v>
      </c>
      <c r="B115" s="1">
        <f t="shared" si="1"/>
        <v>0.48678814064953813</v>
      </c>
    </row>
    <row r="116" spans="1:2" x14ac:dyDescent="0.3">
      <c r="A116">
        <v>56</v>
      </c>
      <c r="B116" s="1">
        <f t="shared" si="1"/>
        <v>0.47180454090724017</v>
      </c>
    </row>
    <row r="117" spans="1:2" x14ac:dyDescent="0.3">
      <c r="A117">
        <v>56.5</v>
      </c>
      <c r="B117" s="1">
        <f t="shared" si="1"/>
        <v>0.45738836097263769</v>
      </c>
    </row>
    <row r="118" spans="1:2" x14ac:dyDescent="0.3">
      <c r="A118">
        <v>57</v>
      </c>
      <c r="B118" s="1">
        <f t="shared" si="1"/>
        <v>0.44351424405418188</v>
      </c>
    </row>
    <row r="119" spans="1:2" x14ac:dyDescent="0.3">
      <c r="A119">
        <v>57.5</v>
      </c>
      <c r="B119" s="1">
        <f t="shared" si="1"/>
        <v>0.43015813190776903</v>
      </c>
    </row>
    <row r="120" spans="1:2" x14ac:dyDescent="0.3">
      <c r="A120">
        <v>58</v>
      </c>
      <c r="B120" s="1">
        <f t="shared" si="1"/>
        <v>0.41729719029637524</v>
      </c>
    </row>
    <row r="121" spans="1:2" x14ac:dyDescent="0.3">
      <c r="A121">
        <v>58.5</v>
      </c>
      <c r="B121" s="1">
        <f t="shared" si="1"/>
        <v>0.40490973916145251</v>
      </c>
    </row>
    <row r="122" spans="1:2" x14ac:dyDescent="0.3">
      <c r="A122">
        <v>59</v>
      </c>
      <c r="B122" s="1">
        <f t="shared" si="1"/>
        <v>0.39297518718306801</v>
      </c>
    </row>
    <row r="123" spans="1:2" x14ac:dyDescent="0.3">
      <c r="A123">
        <v>59.5</v>
      </c>
      <c r="B123" s="1">
        <f t="shared" si="1"/>
        <v>0.38147397042944575</v>
      </c>
    </row>
    <row r="124" spans="1:2" x14ac:dyDescent="0.3">
      <c r="A124">
        <v>60</v>
      </c>
      <c r="B124" s="1">
        <f t="shared" si="1"/>
        <v>0.3703874948184282</v>
      </c>
    </row>
    <row r="125" spans="1:2" x14ac:dyDescent="0.3">
      <c r="A125">
        <v>60.5</v>
      </c>
      <c r="B125" s="1">
        <f t="shared" si="1"/>
        <v>0.3596980821335366</v>
      </c>
    </row>
    <row r="126" spans="1:2" x14ac:dyDescent="0.3">
      <c r="A126">
        <v>61</v>
      </c>
      <c r="B126" s="1">
        <f t="shared" si="1"/>
        <v>0.3493889193559363</v>
      </c>
    </row>
    <row r="127" spans="1:2" x14ac:dyDescent="0.3">
      <c r="A127">
        <v>61.5</v>
      </c>
      <c r="B127" s="1">
        <f t="shared" si="1"/>
        <v>0.33944401109080052</v>
      </c>
    </row>
    <row r="128" spans="1:2" x14ac:dyDescent="0.3">
      <c r="A128">
        <v>62</v>
      </c>
      <c r="B128" s="1">
        <f t="shared" si="1"/>
        <v>0.32984813488245224</v>
      </c>
    </row>
    <row r="129" spans="1:6" x14ac:dyDescent="0.3">
      <c r="A129">
        <v>62.5</v>
      </c>
      <c r="B129" s="1">
        <f t="shared" si="1"/>
        <v>0.3205867992273404</v>
      </c>
    </row>
    <row r="130" spans="1:6" x14ac:dyDescent="0.3">
      <c r="A130">
        <v>63</v>
      </c>
      <c r="B130" s="1">
        <f t="shared" si="1"/>
        <v>0.31164620410746802</v>
      </c>
    </row>
    <row r="131" spans="1:6" x14ac:dyDescent="0.3">
      <c r="A131">
        <v>63.5</v>
      </c>
      <c r="B131" s="1">
        <f t="shared" si="1"/>
        <v>0.30301320387943498</v>
      </c>
    </row>
    <row r="132" spans="1:6" x14ac:dyDescent="0.3">
      <c r="A132">
        <v>64</v>
      </c>
      <c r="B132" s="1">
        <f t="shared" si="1"/>
        <v>0.29467527236585322</v>
      </c>
    </row>
    <row r="133" spans="1:6" x14ac:dyDescent="0.3">
      <c r="B133" s="1"/>
    </row>
    <row r="134" spans="1:6" x14ac:dyDescent="0.3">
      <c r="B134" s="1">
        <f>SUM(B5:B132)</f>
        <v>766.52119271546519</v>
      </c>
      <c r="F134">
        <f>0.00000005678*D1^4</f>
        <v>390.62977118207999</v>
      </c>
    </row>
    <row r="135" spans="1:6" x14ac:dyDescent="0.3">
      <c r="B135" s="1">
        <f>B134*0.5</f>
        <v>383.2605963577326</v>
      </c>
    </row>
    <row r="136" spans="1:6" x14ac:dyDescent="0.3">
      <c r="B136" s="1"/>
    </row>
    <row r="137" spans="1:6" x14ac:dyDescent="0.3">
      <c r="B137" s="1"/>
    </row>
    <row r="138" spans="1:6" x14ac:dyDescent="0.3">
      <c r="B138" s="1"/>
    </row>
    <row r="139" spans="1:6" x14ac:dyDescent="0.3">
      <c r="B139" s="1"/>
    </row>
    <row r="140" spans="1:6" x14ac:dyDescent="0.3">
      <c r="B140" s="1"/>
    </row>
    <row r="141" spans="1:6" x14ac:dyDescent="0.3">
      <c r="B141" s="1"/>
    </row>
    <row r="142" spans="1:6" x14ac:dyDescent="0.3">
      <c r="B142" s="1"/>
    </row>
    <row r="143" spans="1:6" x14ac:dyDescent="0.3">
      <c r="B143" s="1"/>
    </row>
    <row r="144" spans="1:6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Ghobeity</dc:creator>
  <cp:lastModifiedBy>Amin Ghobeity</cp:lastModifiedBy>
  <dcterms:created xsi:type="dcterms:W3CDTF">2022-10-30T22:31:47Z</dcterms:created>
  <dcterms:modified xsi:type="dcterms:W3CDTF">2025-09-29T18:24:03Z</dcterms:modified>
</cp:coreProperties>
</file>