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 Material\Intro to Energy Systems\"/>
    </mc:Choice>
  </mc:AlternateContent>
  <xr:revisionPtr revIDLastSave="0" documentId="13_ncr:1_{96C8AB69-26E0-4CDB-BB35-7F726FA30A20}" xr6:coauthVersionLast="47" xr6:coauthVersionMax="47" xr10:uidLastSave="{00000000-0000-0000-0000-000000000000}"/>
  <bookViews>
    <workbookView xWindow="-108" yWindow="-108" windowWidth="23256" windowHeight="13896" activeTab="1" xr2:uid="{7BD4A0D4-D62E-4768-AD91-592AC1467C2C}"/>
  </bookViews>
  <sheets>
    <sheet name="Sheet1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2" l="1"/>
  <c r="R7" i="2"/>
  <c r="R8" i="2" s="1"/>
  <c r="C23" i="2"/>
  <c r="C22" i="2"/>
  <c r="C25" i="2" s="1"/>
  <c r="K19" i="2"/>
  <c r="R10" i="2"/>
  <c r="R11" i="2" s="1"/>
  <c r="C23" i="1"/>
  <c r="K19" i="1"/>
  <c r="R6" i="1"/>
  <c r="R10" i="1" s="1"/>
  <c r="R11" i="1" s="1"/>
  <c r="R15" i="1" s="1"/>
  <c r="C22" i="1"/>
  <c r="R15" i="2" l="1"/>
  <c r="C25" i="1"/>
</calcChain>
</file>

<file path=xl/sharedStrings.xml><?xml version="1.0" encoding="utf-8"?>
<sst xmlns="http://schemas.openxmlformats.org/spreadsheetml/2006/main" count="64" uniqueCount="22">
  <si>
    <t>C1</t>
  </si>
  <si>
    <t>C2</t>
  </si>
  <si>
    <t>C3</t>
  </si>
  <si>
    <t>C4</t>
  </si>
  <si>
    <t>m_p</t>
  </si>
  <si>
    <t>m_n</t>
  </si>
  <si>
    <t>amu</t>
  </si>
  <si>
    <t>A</t>
  </si>
  <si>
    <t>Z</t>
  </si>
  <si>
    <t>Z/A_actual</t>
  </si>
  <si>
    <t>Z/A_lowest_B</t>
  </si>
  <si>
    <t>kg/amu</t>
  </si>
  <si>
    <t>kg</t>
  </si>
  <si>
    <t>c</t>
  </si>
  <si>
    <t>m/s2</t>
  </si>
  <si>
    <t>J</t>
  </si>
  <si>
    <t>% Difference</t>
  </si>
  <si>
    <t>B(A,Z)</t>
  </si>
  <si>
    <t>1 MeV</t>
  </si>
  <si>
    <t>MeV</t>
  </si>
  <si>
    <t>m</t>
  </si>
  <si>
    <t>MeV/amu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</si>
</sst>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%"/>
    <numFmt numFmtId="166" formatCode="0.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0" fontId="2" fillId="0" borderId="0" xfId="0" applyFont="1"/>
    <xf numFmtId="164" fontId="2" fillId="0" borderId="0" xfId="0" applyNumberFormat="1" applyFont="1"/>
    <xf numFmtId="11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171450</xdr:rowOff>
    </xdr:from>
    <xdr:to>
      <xdr:col>14</xdr:col>
      <xdr:colOff>289967</xdr:colOff>
      <xdr:row>7</xdr:row>
      <xdr:rowOff>178274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CCA86-AD6A-4B6E-8F90-DCB6F14A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71450"/>
          <a:ext cx="9295238" cy="1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177801</xdr:colOff>
      <xdr:row>8</xdr:row>
      <xdr:rowOff>107950</xdr:rowOff>
    </xdr:from>
    <xdr:to>
      <xdr:col>13</xdr:col>
      <xdr:colOff>364790</xdr:colOff>
      <xdr:row>14</xdr:row>
      <xdr:rowOff>114168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82D560-8C24-4032-870A-D7FA6F95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5401" y="1581150"/>
          <a:ext cx="4972050" cy="1111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171450</xdr:rowOff>
    </xdr:from>
    <xdr:to>
      <xdr:col>14</xdr:col>
      <xdr:colOff>289967</xdr:colOff>
      <xdr:row>7</xdr:row>
      <xdr:rowOff>178274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1C685-E4DD-440A-8E93-37404FCE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71450"/>
          <a:ext cx="9246007" cy="1286984"/>
        </a:xfrm>
        <a:prstGeom prst="rect">
          <a:avLst/>
        </a:prstGeom>
      </xdr:spPr>
    </xdr:pic>
    <xdr:clientData/>
  </xdr:twoCellAnchor>
  <xdr:twoCellAnchor editAs="oneCell">
    <xdr:from>
      <xdr:col>6</xdr:col>
      <xdr:colOff>177801</xdr:colOff>
      <xdr:row>8</xdr:row>
      <xdr:rowOff>107950</xdr:rowOff>
    </xdr:from>
    <xdr:to>
      <xdr:col>13</xdr:col>
      <xdr:colOff>364790</xdr:colOff>
      <xdr:row>14</xdr:row>
      <xdr:rowOff>114168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9B0A06-A65F-4D87-9670-90EBDDC6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1621" y="1570990"/>
          <a:ext cx="4957109" cy="1103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87EA-A4B6-48CF-8CE0-7A3C88F1D970}">
  <dimension ref="B6:S25"/>
  <sheetViews>
    <sheetView topLeftCell="A2" zoomScale="85" zoomScaleNormal="85" workbookViewId="0">
      <selection activeCell="C11" sqref="C11"/>
    </sheetView>
  </sheetViews>
  <sheetFormatPr defaultRowHeight="14.4" x14ac:dyDescent="0.3"/>
  <cols>
    <col min="2" max="2" width="12.21875" bestFit="1" customWidth="1"/>
    <col min="3" max="3" width="9" bestFit="1" customWidth="1"/>
    <col min="11" max="11" width="16.21875" customWidth="1"/>
  </cols>
  <sheetData>
    <row r="6" spans="2:19" x14ac:dyDescent="0.3">
      <c r="Q6" t="s">
        <v>8</v>
      </c>
      <c r="R6">
        <f>C12</f>
        <v>90</v>
      </c>
    </row>
    <row r="7" spans="2:19" x14ac:dyDescent="0.3">
      <c r="Q7" t="s">
        <v>7</v>
      </c>
      <c r="R7">
        <v>234</v>
      </c>
    </row>
    <row r="8" spans="2:19" x14ac:dyDescent="0.3">
      <c r="Q8" t="s">
        <v>20</v>
      </c>
      <c r="R8">
        <v>234</v>
      </c>
      <c r="S8" t="s">
        <v>6</v>
      </c>
    </row>
    <row r="10" spans="2:19" x14ac:dyDescent="0.3">
      <c r="Q10" s="4" t="s">
        <v>17</v>
      </c>
      <c r="R10" s="6">
        <f>C15*R7+C16*(R7^0.667)+C17*R6*(R6-1)/(R7^0.333)+C18*(R7-2*R6)^2/R7</f>
        <v>2.9028329384740576E-10</v>
      </c>
      <c r="S10" s="4" t="s">
        <v>15</v>
      </c>
    </row>
    <row r="11" spans="2:19" x14ac:dyDescent="0.3">
      <c r="B11" t="s">
        <v>7</v>
      </c>
      <c r="C11">
        <v>234</v>
      </c>
      <c r="Q11" s="4"/>
      <c r="R11" s="7">
        <f>R10/K16</f>
        <v>1812.0055795718213</v>
      </c>
      <c r="S11" s="4" t="s">
        <v>19</v>
      </c>
    </row>
    <row r="12" spans="2:19" x14ac:dyDescent="0.3">
      <c r="B12" t="s">
        <v>8</v>
      </c>
      <c r="C12">
        <v>90</v>
      </c>
    </row>
    <row r="15" spans="2:19" x14ac:dyDescent="0.3">
      <c r="B15" t="s">
        <v>0</v>
      </c>
      <c r="C15" s="1">
        <v>2.4999999999999998E-12</v>
      </c>
      <c r="D15" t="s">
        <v>15</v>
      </c>
      <c r="Q15" s="4" t="s">
        <v>17</v>
      </c>
      <c r="R15" s="4">
        <f>R11/R8</f>
        <v>7.7436135879137664</v>
      </c>
      <c r="S15" s="4" t="s">
        <v>21</v>
      </c>
    </row>
    <row r="16" spans="2:19" x14ac:dyDescent="0.3">
      <c r="B16" t="s">
        <v>1</v>
      </c>
      <c r="C16" s="1">
        <v>-2.5999999999999998E-12</v>
      </c>
      <c r="D16" t="s">
        <v>15</v>
      </c>
      <c r="F16" t="s">
        <v>4</v>
      </c>
      <c r="G16">
        <v>1.0072760000000001</v>
      </c>
      <c r="H16" t="s">
        <v>6</v>
      </c>
      <c r="J16" t="s">
        <v>18</v>
      </c>
      <c r="K16" s="3">
        <v>1.6019999999999999E-13</v>
      </c>
      <c r="L16" t="s">
        <v>15</v>
      </c>
    </row>
    <row r="17" spans="2:11" x14ac:dyDescent="0.3">
      <c r="B17" t="s">
        <v>2</v>
      </c>
      <c r="C17" s="1">
        <v>-1.1399999999999999E-13</v>
      </c>
      <c r="D17" t="s">
        <v>15</v>
      </c>
      <c r="F17" t="s">
        <v>5</v>
      </c>
      <c r="G17">
        <v>1.0086649999999999</v>
      </c>
      <c r="H17" t="s">
        <v>6</v>
      </c>
    </row>
    <row r="18" spans="2:11" x14ac:dyDescent="0.3">
      <c r="B18" t="s">
        <v>3</v>
      </c>
      <c r="C18" s="1">
        <v>-3.8E-12</v>
      </c>
      <c r="D18" t="s">
        <v>15</v>
      </c>
      <c r="F18" t="s">
        <v>11</v>
      </c>
      <c r="G18" s="1">
        <v>1.6605402E-27</v>
      </c>
      <c r="H18" t="s">
        <v>12</v>
      </c>
    </row>
    <row r="19" spans="2:11" x14ac:dyDescent="0.3">
      <c r="F19" t="s">
        <v>13</v>
      </c>
      <c r="G19" s="1">
        <v>300000000</v>
      </c>
      <c r="H19" t="s">
        <v>14</v>
      </c>
      <c r="K19" s="1">
        <f>4.36E+32/1000000*K16</f>
        <v>69847199999999.992</v>
      </c>
    </row>
    <row r="22" spans="2:11" x14ac:dyDescent="0.3">
      <c r="B22" t="s">
        <v>9</v>
      </c>
      <c r="C22">
        <f>C12/C11</f>
        <v>0.38461538461538464</v>
      </c>
    </row>
    <row r="23" spans="2:11" x14ac:dyDescent="0.3">
      <c r="B23" s="4" t="s">
        <v>10</v>
      </c>
      <c r="C23" s="5">
        <f>1/(2*C17*C11^0.667+4*C18)*((G16-G17)*G18*G19^2+C17/C11^0.333+2*C18)</f>
        <v>0.32781405537642</v>
      </c>
    </row>
    <row r="25" spans="2:11" x14ac:dyDescent="0.3">
      <c r="B25" t="s">
        <v>16</v>
      </c>
      <c r="C25" s="2">
        <f>(C22-C23)/C22</f>
        <v>0.14768345602130806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2B62-F515-4998-89FC-09F251E4DF32}">
  <dimension ref="B6:S25"/>
  <sheetViews>
    <sheetView tabSelected="1" topLeftCell="A2" zoomScale="85" zoomScaleNormal="85" workbookViewId="0">
      <selection activeCell="I23" sqref="I23"/>
    </sheetView>
  </sheetViews>
  <sheetFormatPr defaultRowHeight="14.4" x14ac:dyDescent="0.3"/>
  <cols>
    <col min="2" max="2" width="12.21875" bestFit="1" customWidth="1"/>
    <col min="3" max="3" width="9" bestFit="1" customWidth="1"/>
    <col min="11" max="11" width="16.21875" customWidth="1"/>
  </cols>
  <sheetData>
    <row r="6" spans="2:19" x14ac:dyDescent="0.3">
      <c r="Q6" t="s">
        <v>8</v>
      </c>
      <c r="R6">
        <f>C12</f>
        <v>7</v>
      </c>
    </row>
    <row r="7" spans="2:19" x14ac:dyDescent="0.3">
      <c r="Q7" t="s">
        <v>7</v>
      </c>
      <c r="R7">
        <f>C11</f>
        <v>14</v>
      </c>
    </row>
    <row r="8" spans="2:19" x14ac:dyDescent="0.3">
      <c r="Q8" t="s">
        <v>20</v>
      </c>
      <c r="R8">
        <f>R7</f>
        <v>14</v>
      </c>
      <c r="S8" t="s">
        <v>6</v>
      </c>
    </row>
    <row r="10" spans="2:19" x14ac:dyDescent="0.3">
      <c r="Q10" s="4" t="s">
        <v>17</v>
      </c>
      <c r="R10" s="6">
        <f>C15*R7+C16*(R7^0.667)+C17*R6*(R6-1)/(R7^0.333)+C18*(R7-2*R6)^2/R7</f>
        <v>1.789551241359941E-11</v>
      </c>
      <c r="S10" s="4" t="s">
        <v>15</v>
      </c>
    </row>
    <row r="11" spans="2:19" x14ac:dyDescent="0.3">
      <c r="B11" t="s">
        <v>7</v>
      </c>
      <c r="C11">
        <v>14</v>
      </c>
      <c r="Q11" s="4"/>
      <c r="R11" s="7">
        <f>R10/K16</f>
        <v>111.70731843695013</v>
      </c>
      <c r="S11" s="4" t="s">
        <v>19</v>
      </c>
    </row>
    <row r="12" spans="2:19" x14ac:dyDescent="0.3">
      <c r="B12" t="s">
        <v>8</v>
      </c>
      <c r="C12">
        <v>7</v>
      </c>
    </row>
    <row r="15" spans="2:19" x14ac:dyDescent="0.3">
      <c r="B15" t="s">
        <v>0</v>
      </c>
      <c r="C15" s="1">
        <v>2.4999999999999998E-12</v>
      </c>
      <c r="D15" t="s">
        <v>15</v>
      </c>
      <c r="Q15" s="4" t="s">
        <v>17</v>
      </c>
      <c r="R15" s="4">
        <f>R11/R8</f>
        <v>7.9790941740678667</v>
      </c>
      <c r="S15" s="4" t="s">
        <v>21</v>
      </c>
    </row>
    <row r="16" spans="2:19" x14ac:dyDescent="0.3">
      <c r="B16" t="s">
        <v>1</v>
      </c>
      <c r="C16" s="1">
        <v>-2.5999999999999998E-12</v>
      </c>
      <c r="D16" t="s">
        <v>15</v>
      </c>
      <c r="F16" t="s">
        <v>4</v>
      </c>
      <c r="G16">
        <v>1.0072760000000001</v>
      </c>
      <c r="H16" t="s">
        <v>6</v>
      </c>
      <c r="J16" t="s">
        <v>18</v>
      </c>
      <c r="K16" s="3">
        <v>1.6019999999999999E-13</v>
      </c>
      <c r="L16" t="s">
        <v>15</v>
      </c>
    </row>
    <row r="17" spans="2:11" x14ac:dyDescent="0.3">
      <c r="B17" t="s">
        <v>2</v>
      </c>
      <c r="C17" s="1">
        <v>-1.1399999999999999E-13</v>
      </c>
      <c r="D17" t="s">
        <v>15</v>
      </c>
      <c r="F17" t="s">
        <v>5</v>
      </c>
      <c r="G17">
        <v>1.0086649999999999</v>
      </c>
      <c r="H17" t="s">
        <v>6</v>
      </c>
    </row>
    <row r="18" spans="2:11" x14ac:dyDescent="0.3">
      <c r="B18" t="s">
        <v>3</v>
      </c>
      <c r="C18" s="1">
        <v>-3.8E-12</v>
      </c>
      <c r="D18" t="s">
        <v>15</v>
      </c>
      <c r="F18" t="s">
        <v>11</v>
      </c>
      <c r="G18" s="1">
        <v>1.6605402E-27</v>
      </c>
      <c r="H18" t="s">
        <v>12</v>
      </c>
    </row>
    <row r="19" spans="2:11" x14ac:dyDescent="0.3">
      <c r="F19" t="s">
        <v>13</v>
      </c>
      <c r="G19" s="1">
        <v>300000000</v>
      </c>
      <c r="H19" t="s">
        <v>14</v>
      </c>
      <c r="K19" s="1">
        <f>4.36E+32/1000000*K16</f>
        <v>69847199999999.992</v>
      </c>
    </row>
    <row r="22" spans="2:11" x14ac:dyDescent="0.3">
      <c r="B22" t="s">
        <v>9</v>
      </c>
      <c r="C22">
        <f>C12/C11</f>
        <v>0.5</v>
      </c>
    </row>
    <row r="23" spans="2:11" x14ac:dyDescent="0.3">
      <c r="B23" s="4" t="s">
        <v>10</v>
      </c>
      <c r="C23" s="5">
        <f>1/(2*C17*C11^0.667+4*C18)*((G16-G17)*G18*G19^2+C17/C11^0.333+2*C18)</f>
        <v>0.47531954900735568</v>
      </c>
    </row>
    <row r="25" spans="2:11" x14ac:dyDescent="0.3">
      <c r="B25" t="s">
        <v>16</v>
      </c>
      <c r="C25" s="2">
        <f>(C22-C23)/C22</f>
        <v>4.9360901985288641E-2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Ghobeity</dc:creator>
  <cp:lastModifiedBy>Amin Ghobeity</cp:lastModifiedBy>
  <dcterms:created xsi:type="dcterms:W3CDTF">2021-11-01T21:50:28Z</dcterms:created>
  <dcterms:modified xsi:type="dcterms:W3CDTF">2025-10-27T17:46:50Z</dcterms:modified>
</cp:coreProperties>
</file>