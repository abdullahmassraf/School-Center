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idanc-my.sharepoint.com/personal/ghobeity_shernet_sheridancollege_ca/Documents/Desktop/"/>
    </mc:Choice>
  </mc:AlternateContent>
  <xr:revisionPtr revIDLastSave="0" documentId="8_{336771A0-2F8D-42F8-AB1A-029384187B19}" xr6:coauthVersionLast="47" xr6:coauthVersionMax="47" xr10:uidLastSave="{00000000-0000-0000-0000-000000000000}"/>
  <bookViews>
    <workbookView xWindow="-108" yWindow="-108" windowWidth="23256" windowHeight="13896" xr2:uid="{510BF795-5CC7-4E93-947A-628AA598D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19" i="1"/>
  <c r="H4" i="1"/>
  <c r="E4" i="1"/>
  <c r="G12" i="1"/>
  <c r="G14" i="1"/>
  <c r="F5" i="1"/>
  <c r="F6" i="1"/>
  <c r="F7" i="1"/>
  <c r="F8" i="1"/>
  <c r="F9" i="1"/>
  <c r="G9" i="1" s="1"/>
  <c r="F10" i="1"/>
  <c r="G10" i="1" s="1"/>
  <c r="F11" i="1"/>
  <c r="G11" i="1" s="1"/>
  <c r="F12" i="1"/>
  <c r="F13" i="1"/>
  <c r="F14" i="1"/>
  <c r="F15" i="1"/>
  <c r="F16" i="1"/>
  <c r="F17" i="1"/>
  <c r="F18" i="1"/>
  <c r="F19" i="1"/>
  <c r="G19" i="1" s="1"/>
  <c r="F4" i="1"/>
  <c r="E5" i="1"/>
  <c r="G5" i="1" s="1"/>
  <c r="E6" i="1"/>
  <c r="G6" i="1" s="1"/>
  <c r="E7" i="1"/>
  <c r="G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G13" i="1" s="1"/>
  <c r="E14" i="1"/>
  <c r="H14" i="1" s="1"/>
  <c r="E15" i="1"/>
  <c r="G15" i="1" s="1"/>
  <c r="E16" i="1"/>
  <c r="G16" i="1" s="1"/>
  <c r="E17" i="1"/>
  <c r="G17" i="1" s="1"/>
  <c r="E18" i="1"/>
  <c r="G18" i="1" s="1"/>
  <c r="I11" i="1" l="1"/>
  <c r="I10" i="1"/>
  <c r="I9" i="1"/>
  <c r="I14" i="1"/>
  <c r="I12" i="1"/>
  <c r="I8" i="1"/>
  <c r="G8" i="1"/>
  <c r="G21" i="1" s="1"/>
  <c r="H13" i="1"/>
  <c r="H18" i="1"/>
  <c r="H17" i="1"/>
  <c r="H5" i="1"/>
  <c r="H16" i="1"/>
  <c r="H15" i="1"/>
  <c r="I19" i="1"/>
  <c r="G4" i="1"/>
  <c r="H7" i="1"/>
  <c r="H6" i="1"/>
  <c r="K5" i="1" l="1"/>
  <c r="L5" i="1" s="1"/>
  <c r="K17" i="1"/>
  <c r="L17" i="1" s="1"/>
  <c r="K11" i="1"/>
  <c r="L11" i="1" s="1"/>
  <c r="M11" i="1" s="1"/>
  <c r="K12" i="1"/>
  <c r="L12" i="1" s="1"/>
  <c r="M12" i="1" s="1"/>
  <c r="K16" i="1"/>
  <c r="L16" i="1" s="1"/>
  <c r="M16" i="1" s="1"/>
  <c r="K6" i="1"/>
  <c r="L6" i="1" s="1"/>
  <c r="K18" i="1"/>
  <c r="L18" i="1" s="1"/>
  <c r="K7" i="1"/>
  <c r="L7" i="1" s="1"/>
  <c r="K19" i="1"/>
  <c r="L19" i="1" s="1"/>
  <c r="M19" i="1" s="1"/>
  <c r="K8" i="1"/>
  <c r="L8" i="1" s="1"/>
  <c r="M8" i="1" s="1"/>
  <c r="K4" i="1"/>
  <c r="K9" i="1"/>
  <c r="L9" i="1" s="1"/>
  <c r="M9" i="1" s="1"/>
  <c r="K13" i="1"/>
  <c r="L13" i="1" s="1"/>
  <c r="M13" i="1" s="1"/>
  <c r="K14" i="1"/>
  <c r="L14" i="1" s="1"/>
  <c r="M14" i="1" s="1"/>
  <c r="K15" i="1"/>
  <c r="L15" i="1" s="1"/>
  <c r="M15" i="1" s="1"/>
  <c r="K10" i="1"/>
  <c r="L10" i="1" s="1"/>
  <c r="M10" i="1" s="1"/>
  <c r="M7" i="1"/>
  <c r="I7" i="1"/>
  <c r="I16" i="1"/>
  <c r="I13" i="1"/>
  <c r="M6" i="1"/>
  <c r="I6" i="1"/>
  <c r="I15" i="1"/>
  <c r="M5" i="1"/>
  <c r="I5" i="1"/>
  <c r="I21" i="1" s="1"/>
  <c r="M17" i="1"/>
  <c r="I17" i="1"/>
  <c r="I18" i="1"/>
  <c r="M18" i="1"/>
  <c r="L4" i="1" l="1"/>
  <c r="K21" i="1"/>
  <c r="L21" i="1" l="1"/>
  <c r="M4" i="1"/>
  <c r="M21" i="1" s="1"/>
  <c r="M23" i="1" s="1"/>
</calcChain>
</file>

<file path=xl/sharedStrings.xml><?xml version="1.0" encoding="utf-8"?>
<sst xmlns="http://schemas.openxmlformats.org/spreadsheetml/2006/main" count="17" uniqueCount="14">
  <si>
    <t>Bin</t>
  </si>
  <si>
    <t>Wind speed (m/s)</t>
  </si>
  <si>
    <t>hours/yr</t>
  </si>
  <si>
    <t>min</t>
  </si>
  <si>
    <t>max</t>
  </si>
  <si>
    <t>u_ave</t>
  </si>
  <si>
    <t>p_i</t>
  </si>
  <si>
    <t>u_ave*p_i</t>
  </si>
  <si>
    <t>u_mean</t>
  </si>
  <si>
    <t>P_wind (kW/m2)</t>
  </si>
  <si>
    <t>E_wind (kWh/m2)</t>
  </si>
  <si>
    <t>kWh/m2/year</t>
  </si>
  <si>
    <t>Rayleigh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</si>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</sst>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center" wrapText="1" readingOrder="1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07AF-C650-4307-B65B-6D7D64E067D4}">
  <dimension ref="A1:N23"/>
  <sheetViews>
    <sheetView tabSelected="1" zoomScale="130" zoomScaleNormal="130" workbookViewId="0">
      <selection sqref="A1:XFD3"/>
    </sheetView>
  </sheetViews>
  <sheetFormatPr defaultRowHeight="14.4" x14ac:dyDescent="0.3"/>
  <cols>
    <col min="1" max="1" width="3.88671875" bestFit="1" customWidth="1"/>
    <col min="3" max="3" width="8" bestFit="1" customWidth="1"/>
    <col min="4" max="4" width="8.44140625" bestFit="1" customWidth="1"/>
    <col min="8" max="8" width="13.21875" bestFit="1" customWidth="1"/>
    <col min="9" max="9" width="15.109375" bestFit="1" customWidth="1"/>
    <col min="10" max="10" width="20.33203125" customWidth="1"/>
    <col min="14" max="14" width="12" bestFit="1" customWidth="1"/>
  </cols>
  <sheetData>
    <row r="1" spans="1:13" ht="15" thickBot="1" x14ac:dyDescent="0.35">
      <c r="K1" t="s">
        <v>12</v>
      </c>
    </row>
    <row r="2" spans="1:13" ht="15" thickBot="1" x14ac:dyDescent="0.35">
      <c r="A2" s="1" t="s">
        <v>0</v>
      </c>
      <c r="B2" s="4" t="s">
        <v>1</v>
      </c>
      <c r="C2" s="5"/>
      <c r="D2" s="1" t="s">
        <v>2</v>
      </c>
      <c r="E2" t="s">
        <v>5</v>
      </c>
      <c r="F2" t="s">
        <v>6</v>
      </c>
      <c r="G2" t="s">
        <v>7</v>
      </c>
      <c r="H2" t="s">
        <v>9</v>
      </c>
      <c r="I2" t="s">
        <v>10</v>
      </c>
      <c r="K2" t="s">
        <v>6</v>
      </c>
      <c r="L2" t="s">
        <v>13</v>
      </c>
      <c r="M2" t="s">
        <v>10</v>
      </c>
    </row>
    <row r="3" spans="1:13" ht="15" thickBot="1" x14ac:dyDescent="0.35">
      <c r="A3" s="1"/>
      <c r="B3" s="1" t="s">
        <v>3</v>
      </c>
      <c r="C3" s="1" t="s">
        <v>4</v>
      </c>
      <c r="D3" s="1"/>
    </row>
    <row r="4" spans="1:13" ht="15" thickBot="1" x14ac:dyDescent="0.35">
      <c r="A4" s="2">
        <v>1</v>
      </c>
      <c r="B4" s="3">
        <v>0</v>
      </c>
      <c r="C4" s="3">
        <v>0</v>
      </c>
      <c r="D4" s="3">
        <v>80</v>
      </c>
      <c r="E4">
        <f>AVERAGE(B4,C4)</f>
        <v>0</v>
      </c>
      <c r="F4">
        <f>D4/8760</f>
        <v>9.1324200913242004E-3</v>
      </c>
      <c r="G4">
        <f>E4*F4</f>
        <v>0</v>
      </c>
      <c r="H4">
        <f>1/2*1.15*E4^3/1000</f>
        <v>0</v>
      </c>
      <c r="I4">
        <f>H4*D4</f>
        <v>0</v>
      </c>
      <c r="K4">
        <f>EXP(-PI()/4*(B4/$G$21)^2)-EXP(-PI()/4*(C4/$G$21)^2)</f>
        <v>0</v>
      </c>
      <c r="L4">
        <f>K4*8760</f>
        <v>0</v>
      </c>
      <c r="M4">
        <f>H4*L4</f>
        <v>0</v>
      </c>
    </row>
    <row r="5" spans="1:13" ht="15" thickBot="1" x14ac:dyDescent="0.35">
      <c r="A5" s="2">
        <v>2</v>
      </c>
      <c r="B5" s="3">
        <v>0</v>
      </c>
      <c r="C5" s="3">
        <v>1</v>
      </c>
      <c r="D5" s="3">
        <v>200</v>
      </c>
      <c r="E5">
        <f t="shared" ref="E5:E18" si="0">AVERAGE(B5,C5)</f>
        <v>0.5</v>
      </c>
      <c r="F5">
        <f t="shared" ref="F5:F19" si="1">D5/8760</f>
        <v>2.2831050228310501E-2</v>
      </c>
      <c r="G5">
        <f t="shared" ref="G5:G19" si="2">E5*F5</f>
        <v>1.1415525114155251E-2</v>
      </c>
      <c r="H5">
        <f t="shared" ref="H5:H19" si="3">1/2*1.15*E5^3/1000</f>
        <v>7.1874999999999999E-5</v>
      </c>
      <c r="I5">
        <f t="shared" ref="I5:I19" si="4">H5*D5</f>
        <v>1.4374999999999999E-2</v>
      </c>
      <c r="K5">
        <f t="shared" ref="K5:K19" si="5">EXP(-PI()/4*(B5/$G$21)^2)-EXP(-PI()/4*(C5/$G$21)^2)</f>
        <v>2.5646388548771659E-2</v>
      </c>
      <c r="L5">
        <f t="shared" ref="L5:L19" si="6">K5*8760</f>
        <v>224.66236368723975</v>
      </c>
      <c r="M5">
        <f t="shared" ref="M5:M19" si="7">H5*L5</f>
        <v>1.6147607390020358E-2</v>
      </c>
    </row>
    <row r="6" spans="1:13" ht="15" thickBot="1" x14ac:dyDescent="0.35">
      <c r="A6" s="2">
        <v>3</v>
      </c>
      <c r="B6" s="3">
        <v>1</v>
      </c>
      <c r="C6" s="3">
        <v>2</v>
      </c>
      <c r="D6" s="3">
        <v>501</v>
      </c>
      <c r="E6">
        <f t="shared" si="0"/>
        <v>1.5</v>
      </c>
      <c r="F6">
        <f t="shared" si="1"/>
        <v>5.7191780821917809E-2</v>
      </c>
      <c r="G6">
        <f t="shared" si="2"/>
        <v>8.5787671232876714E-2</v>
      </c>
      <c r="H6">
        <f t="shared" si="3"/>
        <v>1.9406249999999999E-3</v>
      </c>
      <c r="I6">
        <f t="shared" si="4"/>
        <v>0.97225312499999994</v>
      </c>
      <c r="K6">
        <f t="shared" si="5"/>
        <v>7.3059783894317554E-2</v>
      </c>
      <c r="L6">
        <f t="shared" si="6"/>
        <v>640.00370691422177</v>
      </c>
      <c r="M6">
        <f t="shared" si="7"/>
        <v>1.2420071937304116</v>
      </c>
    </row>
    <row r="7" spans="1:13" ht="15" thickBot="1" x14ac:dyDescent="0.35">
      <c r="A7" s="2">
        <v>4</v>
      </c>
      <c r="B7" s="3">
        <v>2</v>
      </c>
      <c r="C7" s="3">
        <v>3.1</v>
      </c>
      <c r="D7" s="3">
        <v>850</v>
      </c>
      <c r="E7">
        <f t="shared" si="0"/>
        <v>2.5499999999999998</v>
      </c>
      <c r="F7">
        <f t="shared" si="1"/>
        <v>9.7031963470319629E-2</v>
      </c>
      <c r="G7">
        <f t="shared" si="2"/>
        <v>0.24743150684931503</v>
      </c>
      <c r="H7">
        <f t="shared" si="3"/>
        <v>9.5342906249999988E-3</v>
      </c>
      <c r="I7">
        <f t="shared" si="4"/>
        <v>8.1041470312499992</v>
      </c>
      <c r="K7">
        <f t="shared" si="5"/>
        <v>0.12224169915567773</v>
      </c>
      <c r="L7">
        <f t="shared" si="6"/>
        <v>1070.8372846037369</v>
      </c>
      <c r="M7">
        <f t="shared" si="7"/>
        <v>10.209673883497864</v>
      </c>
    </row>
    <row r="8" spans="1:13" ht="15" thickBot="1" x14ac:dyDescent="0.35">
      <c r="A8" s="2">
        <v>5</v>
      </c>
      <c r="B8" s="3">
        <v>3.1</v>
      </c>
      <c r="C8" s="3">
        <v>4.0999999999999996</v>
      </c>
      <c r="D8" s="3">
        <v>1300</v>
      </c>
      <c r="E8">
        <f t="shared" si="0"/>
        <v>3.5999999999999996</v>
      </c>
      <c r="F8">
        <f t="shared" si="1"/>
        <v>0.14840182648401826</v>
      </c>
      <c r="G8">
        <f t="shared" si="2"/>
        <v>0.53424657534246567</v>
      </c>
      <c r="H8">
        <f t="shared" si="3"/>
        <v>2.6827199999999992E-2</v>
      </c>
      <c r="I8">
        <f t="shared" si="4"/>
        <v>34.875359999999986</v>
      </c>
      <c r="K8">
        <f t="shared" si="5"/>
        <v>0.13291301305699743</v>
      </c>
      <c r="L8">
        <f t="shared" si="6"/>
        <v>1164.3179943792975</v>
      </c>
      <c r="M8">
        <f t="shared" si="7"/>
        <v>31.235391698812279</v>
      </c>
    </row>
    <row r="9" spans="1:13" ht="15" thickBot="1" x14ac:dyDescent="0.35">
      <c r="A9" s="2">
        <v>6</v>
      </c>
      <c r="B9" s="3">
        <v>4.0999999999999996</v>
      </c>
      <c r="C9" s="3">
        <v>5.2</v>
      </c>
      <c r="D9" s="3">
        <v>1407</v>
      </c>
      <c r="E9">
        <f t="shared" si="0"/>
        <v>4.6500000000000004</v>
      </c>
      <c r="F9">
        <f t="shared" si="1"/>
        <v>0.16061643835616438</v>
      </c>
      <c r="G9">
        <f t="shared" si="2"/>
        <v>0.7468664383561644</v>
      </c>
      <c r="H9">
        <f t="shared" si="3"/>
        <v>5.7813159375000013E-2</v>
      </c>
      <c r="I9">
        <f t="shared" si="4"/>
        <v>81.343115240625025</v>
      </c>
      <c r="K9">
        <f t="shared" si="5"/>
        <v>0.15080659412850989</v>
      </c>
      <c r="L9">
        <f t="shared" si="6"/>
        <v>1321.0657645657466</v>
      </c>
      <c r="M9">
        <f t="shared" si="7"/>
        <v>76.374985591695747</v>
      </c>
    </row>
    <row r="10" spans="1:13" ht="15" thickBot="1" x14ac:dyDescent="0.35">
      <c r="A10" s="2">
        <v>7</v>
      </c>
      <c r="B10" s="3">
        <v>5.2</v>
      </c>
      <c r="C10" s="3">
        <v>6.2</v>
      </c>
      <c r="D10" s="3">
        <v>1351</v>
      </c>
      <c r="E10">
        <f t="shared" si="0"/>
        <v>5.7</v>
      </c>
      <c r="F10">
        <f t="shared" si="1"/>
        <v>0.15422374429223745</v>
      </c>
      <c r="G10">
        <f t="shared" si="2"/>
        <v>0.87907534246575347</v>
      </c>
      <c r="H10">
        <f t="shared" si="3"/>
        <v>0.106485975</v>
      </c>
      <c r="I10">
        <f t="shared" si="4"/>
        <v>143.862552225</v>
      </c>
      <c r="K10">
        <f t="shared" si="5"/>
        <v>0.12697794158328501</v>
      </c>
      <c r="L10">
        <f t="shared" si="6"/>
        <v>1112.3267682695766</v>
      </c>
      <c r="M10">
        <f t="shared" si="7"/>
        <v>118.44720043778493</v>
      </c>
    </row>
    <row r="11" spans="1:13" ht="15" thickBot="1" x14ac:dyDescent="0.35">
      <c r="A11" s="2">
        <v>8</v>
      </c>
      <c r="B11" s="3">
        <v>6.2</v>
      </c>
      <c r="C11" s="3">
        <v>7.2</v>
      </c>
      <c r="D11" s="3">
        <v>990</v>
      </c>
      <c r="E11">
        <f t="shared" si="0"/>
        <v>6.7</v>
      </c>
      <c r="F11">
        <f t="shared" si="1"/>
        <v>0.11301369863013698</v>
      </c>
      <c r="G11">
        <f t="shared" si="2"/>
        <v>0.75719178082191774</v>
      </c>
      <c r="H11">
        <f t="shared" si="3"/>
        <v>0.17293872500000002</v>
      </c>
      <c r="I11">
        <f t="shared" si="4"/>
        <v>171.20933775</v>
      </c>
      <c r="K11">
        <f t="shared" si="5"/>
        <v>0.10829760667266908</v>
      </c>
      <c r="L11">
        <f t="shared" si="6"/>
        <v>948.68703445258109</v>
      </c>
      <c r="M11">
        <f t="shared" si="7"/>
        <v>164.06472616226046</v>
      </c>
    </row>
    <row r="12" spans="1:13" ht="15" thickBot="1" x14ac:dyDescent="0.35">
      <c r="A12" s="2">
        <v>9</v>
      </c>
      <c r="B12" s="3">
        <v>7.2</v>
      </c>
      <c r="C12" s="3">
        <v>8.1999999999999993</v>
      </c>
      <c r="D12" s="3">
        <v>641</v>
      </c>
      <c r="E12">
        <f t="shared" si="0"/>
        <v>7.6999999999999993</v>
      </c>
      <c r="F12">
        <f t="shared" si="1"/>
        <v>7.317351598173516E-2</v>
      </c>
      <c r="G12">
        <f t="shared" si="2"/>
        <v>0.56343607305936072</v>
      </c>
      <c r="H12">
        <f t="shared" si="3"/>
        <v>0.26250647499999991</v>
      </c>
      <c r="I12">
        <f t="shared" si="4"/>
        <v>168.26665047499995</v>
      </c>
      <c r="K12">
        <f t="shared" si="5"/>
        <v>8.575426636627409E-2</v>
      </c>
      <c r="L12">
        <f t="shared" si="6"/>
        <v>751.20737336856098</v>
      </c>
      <c r="M12">
        <f t="shared" si="7"/>
        <v>197.19679957698975</v>
      </c>
    </row>
    <row r="13" spans="1:13" ht="15" thickBot="1" x14ac:dyDescent="0.35">
      <c r="A13" s="2">
        <v>10</v>
      </c>
      <c r="B13" s="3">
        <v>8.1999999999999993</v>
      </c>
      <c r="C13" s="3">
        <v>9.3000000000000007</v>
      </c>
      <c r="D13" s="3">
        <v>480</v>
      </c>
      <c r="E13">
        <f t="shared" si="0"/>
        <v>8.75</v>
      </c>
      <c r="F13">
        <f t="shared" si="1"/>
        <v>5.4794520547945202E-2</v>
      </c>
      <c r="G13">
        <f t="shared" si="2"/>
        <v>0.47945205479452052</v>
      </c>
      <c r="H13">
        <f t="shared" si="3"/>
        <v>0.38520507812499993</v>
      </c>
      <c r="I13">
        <f t="shared" si="4"/>
        <v>184.89843749999997</v>
      </c>
      <c r="K13">
        <f t="shared" si="5"/>
        <v>6.8596943500460833E-2</v>
      </c>
      <c r="L13">
        <f t="shared" si="6"/>
        <v>600.90922506403695</v>
      </c>
      <c r="M13">
        <f t="shared" si="7"/>
        <v>231.47328498682552</v>
      </c>
    </row>
    <row r="14" spans="1:13" ht="15" thickBot="1" x14ac:dyDescent="0.35">
      <c r="A14" s="2">
        <v>11</v>
      </c>
      <c r="B14" s="3">
        <v>9.3000000000000007</v>
      </c>
      <c r="C14" s="3">
        <v>10.3</v>
      </c>
      <c r="D14" s="3">
        <v>375</v>
      </c>
      <c r="E14">
        <f t="shared" si="0"/>
        <v>9.8000000000000007</v>
      </c>
      <c r="F14">
        <f t="shared" si="1"/>
        <v>4.2808219178082189E-2</v>
      </c>
      <c r="G14">
        <f t="shared" si="2"/>
        <v>0.41952054794520549</v>
      </c>
      <c r="H14">
        <f t="shared" si="3"/>
        <v>0.54118540000000004</v>
      </c>
      <c r="I14">
        <f t="shared" si="4"/>
        <v>202.94452500000003</v>
      </c>
      <c r="K14">
        <f t="shared" si="5"/>
        <v>4.2180860135494311E-2</v>
      </c>
      <c r="L14">
        <f t="shared" si="6"/>
        <v>369.50433478693014</v>
      </c>
      <c r="M14">
        <f t="shared" si="7"/>
        <v>199.97035122339872</v>
      </c>
    </row>
    <row r="15" spans="1:13" ht="15" thickBot="1" x14ac:dyDescent="0.35">
      <c r="A15" s="2">
        <v>12</v>
      </c>
      <c r="B15" s="3">
        <v>10.3</v>
      </c>
      <c r="C15" s="3">
        <v>11.3</v>
      </c>
      <c r="D15" s="3">
        <v>291</v>
      </c>
      <c r="E15">
        <f t="shared" si="0"/>
        <v>10.8</v>
      </c>
      <c r="F15">
        <f t="shared" si="1"/>
        <v>3.3219178082191783E-2</v>
      </c>
      <c r="G15">
        <f t="shared" si="2"/>
        <v>0.3587671232876713</v>
      </c>
      <c r="H15">
        <f t="shared" si="3"/>
        <v>0.72433440000000004</v>
      </c>
      <c r="I15">
        <f t="shared" si="4"/>
        <v>210.78131040000002</v>
      </c>
      <c r="K15">
        <f t="shared" si="5"/>
        <v>2.7282035297213354E-2</v>
      </c>
      <c r="L15">
        <f t="shared" si="6"/>
        <v>238.99062920358898</v>
      </c>
      <c r="M15">
        <f t="shared" si="7"/>
        <v>173.10913400980411</v>
      </c>
    </row>
    <row r="16" spans="1:13" ht="15" thickBot="1" x14ac:dyDescent="0.35">
      <c r="A16" s="2">
        <v>13</v>
      </c>
      <c r="B16" s="3">
        <v>11.3</v>
      </c>
      <c r="C16" s="3">
        <v>12.3</v>
      </c>
      <c r="D16" s="3">
        <v>180</v>
      </c>
      <c r="E16">
        <f t="shared" si="0"/>
        <v>11.8</v>
      </c>
      <c r="F16">
        <f t="shared" si="1"/>
        <v>2.0547945205479451E-2</v>
      </c>
      <c r="G16">
        <f t="shared" si="2"/>
        <v>0.24246575342465754</v>
      </c>
      <c r="H16">
        <f t="shared" si="3"/>
        <v>0.94474340000000001</v>
      </c>
      <c r="I16">
        <f t="shared" si="4"/>
        <v>170.05381199999999</v>
      </c>
      <c r="K16">
        <f t="shared" si="5"/>
        <v>1.6612235079066753E-2</v>
      </c>
      <c r="L16">
        <f t="shared" si="6"/>
        <v>145.52317929262475</v>
      </c>
      <c r="M16">
        <f t="shared" si="7"/>
        <v>137.48206318372391</v>
      </c>
    </row>
    <row r="17" spans="1:14" ht="15" thickBot="1" x14ac:dyDescent="0.35">
      <c r="A17" s="2">
        <v>14</v>
      </c>
      <c r="B17" s="3">
        <v>12.3</v>
      </c>
      <c r="C17" s="3">
        <v>13.4</v>
      </c>
      <c r="D17" s="3">
        <v>78</v>
      </c>
      <c r="E17">
        <f t="shared" si="0"/>
        <v>12.850000000000001</v>
      </c>
      <c r="F17">
        <f t="shared" si="1"/>
        <v>8.9041095890410957E-3</v>
      </c>
      <c r="G17">
        <f t="shared" si="2"/>
        <v>0.11441780821917809</v>
      </c>
      <c r="H17">
        <f t="shared" si="3"/>
        <v>1.2200488718750002</v>
      </c>
      <c r="I17">
        <f t="shared" si="4"/>
        <v>95.163812006250012</v>
      </c>
      <c r="K17">
        <f t="shared" si="5"/>
        <v>1.0212765553007427E-2</v>
      </c>
      <c r="L17">
        <f t="shared" si="6"/>
        <v>89.463826244345057</v>
      </c>
      <c r="M17">
        <f t="shared" si="7"/>
        <v>109.15024028303422</v>
      </c>
    </row>
    <row r="18" spans="1:14" ht="15" thickBot="1" x14ac:dyDescent="0.35">
      <c r="A18" s="2">
        <v>15</v>
      </c>
      <c r="B18" s="3">
        <v>13.4</v>
      </c>
      <c r="C18" s="3">
        <v>14.4</v>
      </c>
      <c r="D18" s="3">
        <v>32</v>
      </c>
      <c r="E18">
        <f t="shared" si="0"/>
        <v>13.9</v>
      </c>
      <c r="F18">
        <f t="shared" si="1"/>
        <v>3.6529680365296802E-3</v>
      </c>
      <c r="G18">
        <f t="shared" si="2"/>
        <v>5.0776255707762556E-2</v>
      </c>
      <c r="H18">
        <f t="shared" si="3"/>
        <v>1.5442309250000001</v>
      </c>
      <c r="I18">
        <f t="shared" si="4"/>
        <v>49.415389600000005</v>
      </c>
      <c r="K18">
        <f t="shared" si="5"/>
        <v>4.8441002845543589E-3</v>
      </c>
      <c r="L18">
        <f t="shared" si="6"/>
        <v>42.434318492696185</v>
      </c>
      <c r="M18">
        <f t="shared" si="7"/>
        <v>65.528386897720836</v>
      </c>
    </row>
    <row r="19" spans="1:14" ht="15" thickBot="1" x14ac:dyDescent="0.35">
      <c r="A19" s="2">
        <v>16</v>
      </c>
      <c r="B19" s="3">
        <v>14.4</v>
      </c>
      <c r="C19" s="3">
        <v>100</v>
      </c>
      <c r="D19" s="3">
        <v>4</v>
      </c>
      <c r="E19">
        <v>16</v>
      </c>
      <c r="F19">
        <f t="shared" si="1"/>
        <v>4.5662100456621003E-4</v>
      </c>
      <c r="G19">
        <f t="shared" si="2"/>
        <v>7.3059360730593605E-3</v>
      </c>
      <c r="H19">
        <f t="shared" si="3"/>
        <v>2.3552</v>
      </c>
      <c r="I19">
        <f t="shared" si="4"/>
        <v>9.4207999999999998</v>
      </c>
      <c r="K19">
        <f t="shared" si="5"/>
        <v>4.5737667437005221E-3</v>
      </c>
      <c r="L19">
        <f t="shared" si="6"/>
        <v>40.066196674816574</v>
      </c>
      <c r="M19">
        <f t="shared" si="7"/>
        <v>94.363906408527995</v>
      </c>
    </row>
    <row r="21" spans="1:14" x14ac:dyDescent="0.3">
      <c r="F21" s="6" t="s">
        <v>8</v>
      </c>
      <c r="G21" s="6">
        <f>SUM(G4:G19)</f>
        <v>5.4981563926940638</v>
      </c>
      <c r="I21" s="6">
        <f>SUM(I4:I19)</f>
        <v>1531.3258773531254</v>
      </c>
      <c r="J21" t="s">
        <v>11</v>
      </c>
      <c r="K21">
        <f>SUM(K4:K19)</f>
        <v>0.99999999999999989</v>
      </c>
      <c r="L21">
        <f>SUM(L4:L19)</f>
        <v>8760</v>
      </c>
      <c r="M21" s="6">
        <f>SUM(M4:M19)</f>
        <v>1609.8642991451968</v>
      </c>
      <c r="N21" t="s">
        <v>11</v>
      </c>
    </row>
    <row r="23" spans="1:14" x14ac:dyDescent="0.3">
      <c r="M23" s="7">
        <f>(M21-I21)/I21</f>
        <v>5.1287856460588213E-2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Ghobeity</dc:creator>
  <cp:lastModifiedBy>Amin Ghobeity</cp:lastModifiedBy>
  <dcterms:created xsi:type="dcterms:W3CDTF">2025-11-24T19:05:19Z</dcterms:created>
  <dcterms:modified xsi:type="dcterms:W3CDTF">2025-11-24T19:24:15Z</dcterms:modified>
</cp:coreProperties>
</file>