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beity\Documents\"/>
    </mc:Choice>
  </mc:AlternateContent>
  <xr:revisionPtr revIDLastSave="0" documentId="8_{7DB050FB-F8CE-4F91-A3B4-0E9E0E9AFCD1}" xr6:coauthVersionLast="47" xr6:coauthVersionMax="47" xr10:uidLastSave="{00000000-0000-0000-0000-000000000000}"/>
  <bookViews>
    <workbookView xWindow="-108" yWindow="-108" windowWidth="23256" windowHeight="13896" xr2:uid="{8AC59F63-B329-46A6-8E9B-5CF4FC43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H19" i="1"/>
  <c r="K21" i="1" s="1"/>
  <c r="J9" i="1"/>
  <c r="K19" i="1"/>
  <c r="K10" i="1"/>
  <c r="K11" i="1"/>
  <c r="K12" i="1"/>
  <c r="K13" i="1"/>
  <c r="K14" i="1"/>
  <c r="K15" i="1"/>
  <c r="K16" i="1"/>
  <c r="K17" i="1"/>
  <c r="J10" i="1"/>
  <c r="J11" i="1"/>
  <c r="J12" i="1"/>
  <c r="J13" i="1"/>
  <c r="J14" i="1"/>
  <c r="J15" i="1"/>
  <c r="J16" i="1"/>
  <c r="J17" i="1"/>
  <c r="H10" i="1"/>
  <c r="H11" i="1"/>
  <c r="H12" i="1"/>
  <c r="H13" i="1"/>
  <c r="H14" i="1"/>
  <c r="H15" i="1"/>
  <c r="H16" i="1"/>
  <c r="H17" i="1"/>
  <c r="H9" i="1"/>
  <c r="G13" i="1"/>
  <c r="G10" i="1"/>
  <c r="G11" i="1"/>
  <c r="G12" i="1"/>
  <c r="G14" i="1"/>
  <c r="G15" i="1"/>
  <c r="G16" i="1"/>
  <c r="G17" i="1"/>
  <c r="G9" i="1"/>
  <c r="F10" i="1"/>
  <c r="F11" i="1"/>
  <c r="F12" i="1"/>
  <c r="F13" i="1"/>
  <c r="F14" i="1"/>
  <c r="F15" i="1"/>
  <c r="F16" i="1"/>
  <c r="F17" i="1"/>
  <c r="F9" i="1"/>
</calcChain>
</file>

<file path=xl/sharedStrings.xml><?xml version="1.0" encoding="utf-8"?>
<sst xmlns="http://schemas.openxmlformats.org/spreadsheetml/2006/main" count="19" uniqueCount="18">
  <si>
    <t>Intercept</t>
  </si>
  <si>
    <t>Slope</t>
  </si>
  <si>
    <t>A_c</t>
  </si>
  <si>
    <t>Btu/hr.ft2.F</t>
  </si>
  <si>
    <t>ft2</t>
  </si>
  <si>
    <t>Time</t>
  </si>
  <si>
    <t>Tamb</t>
  </si>
  <si>
    <t>Tin</t>
  </si>
  <si>
    <t>I_T</t>
  </si>
  <si>
    <t>eta_C</t>
  </si>
  <si>
    <t>q_abs (Btu/hr)</t>
  </si>
  <si>
    <t>E_abs (Btu)</t>
  </si>
  <si>
    <t>Incident Solar (Btu/hr)</t>
  </si>
  <si>
    <t>Btu</t>
  </si>
  <si>
    <t>E_abs_daily</t>
  </si>
  <si>
    <t>Solar_daily</t>
  </si>
  <si>
    <t>Percentage (Daily)</t>
  </si>
  <si>
    <t>E_solar (Btu)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</si>
</sst>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30D0-F325-46B9-8E5E-B03F56BD07CB}">
  <dimension ref="A3:L21"/>
  <sheetViews>
    <sheetView tabSelected="1" topLeftCell="A2" zoomScale="140" zoomScaleNormal="140" workbookViewId="0">
      <selection activeCell="L9" sqref="L9"/>
    </sheetView>
  </sheetViews>
  <sheetFormatPr defaultRowHeight="14.4" x14ac:dyDescent="0.3"/>
  <cols>
    <col min="7" max="7" width="12.109375" bestFit="1" customWidth="1"/>
    <col min="10" max="10" width="18.5546875" bestFit="1" customWidth="1"/>
  </cols>
  <sheetData>
    <row r="3" spans="1:11" x14ac:dyDescent="0.3">
      <c r="A3" t="s">
        <v>0</v>
      </c>
      <c r="B3">
        <v>0.66</v>
      </c>
    </row>
    <row r="4" spans="1:11" x14ac:dyDescent="0.3">
      <c r="A4" t="s">
        <v>1</v>
      </c>
      <c r="B4">
        <v>1.123</v>
      </c>
      <c r="C4" t="s">
        <v>3</v>
      </c>
    </row>
    <row r="5" spans="1:11" x14ac:dyDescent="0.3">
      <c r="A5" t="s">
        <v>2</v>
      </c>
      <c r="B5">
        <v>20.73</v>
      </c>
      <c r="C5" t="s">
        <v>4</v>
      </c>
    </row>
    <row r="8" spans="1:11" x14ac:dyDescent="0.3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J8" t="s">
        <v>12</v>
      </c>
      <c r="K8" t="s">
        <v>17</v>
      </c>
    </row>
    <row r="9" spans="1:11" x14ac:dyDescent="0.3">
      <c r="B9">
        <v>8</v>
      </c>
      <c r="C9">
        <v>25</v>
      </c>
      <c r="D9">
        <v>58</v>
      </c>
      <c r="E9">
        <v>106</v>
      </c>
      <c r="F9">
        <f>$B$3-$B$4*(D9-C9)/E9</f>
        <v>0.31038679245283024</v>
      </c>
      <c r="G9">
        <f>F9*E9*$B$5</f>
        <v>682.03773000000012</v>
      </c>
      <c r="H9">
        <f>G9*1</f>
        <v>682.03773000000012</v>
      </c>
      <c r="J9">
        <f>E9*$B$5</f>
        <v>2197.38</v>
      </c>
      <c r="K9">
        <f>J9*1</f>
        <v>2197.38</v>
      </c>
    </row>
    <row r="10" spans="1:11" x14ac:dyDescent="0.3">
      <c r="B10">
        <v>9</v>
      </c>
      <c r="C10">
        <v>30</v>
      </c>
      <c r="D10">
        <v>58</v>
      </c>
      <c r="E10">
        <v>193</v>
      </c>
      <c r="F10">
        <f t="shared" ref="F10:F17" si="0">$B$3-$B$4*(D10-C10)/E10</f>
        <v>0.49707772020725394</v>
      </c>
      <c r="G10">
        <f t="shared" ref="G10:G17" si="1">F10*E10*$B$5</f>
        <v>1988.7532800000001</v>
      </c>
      <c r="H10">
        <f t="shared" ref="H10:H17" si="2">G10*1</f>
        <v>1988.7532800000001</v>
      </c>
      <c r="J10">
        <f t="shared" ref="J10:J17" si="3">E10*$B$5</f>
        <v>4000.89</v>
      </c>
      <c r="K10">
        <f t="shared" ref="K10:K17" si="4">J10*1</f>
        <v>4000.89</v>
      </c>
    </row>
    <row r="11" spans="1:11" x14ac:dyDescent="0.3">
      <c r="B11">
        <v>10</v>
      </c>
      <c r="C11">
        <v>35</v>
      </c>
      <c r="D11">
        <v>58</v>
      </c>
      <c r="E11">
        <v>256</v>
      </c>
      <c r="F11">
        <f t="shared" si="0"/>
        <v>0.55910546875</v>
      </c>
      <c r="G11">
        <f t="shared" si="1"/>
        <v>2967.10563</v>
      </c>
      <c r="H11">
        <f t="shared" si="2"/>
        <v>2967.10563</v>
      </c>
      <c r="J11">
        <f t="shared" si="3"/>
        <v>5306.88</v>
      </c>
      <c r="K11">
        <f t="shared" si="4"/>
        <v>5306.88</v>
      </c>
    </row>
    <row r="12" spans="1:11" x14ac:dyDescent="0.3">
      <c r="B12">
        <v>11</v>
      </c>
      <c r="C12">
        <v>40</v>
      </c>
      <c r="D12">
        <v>58</v>
      </c>
      <c r="E12">
        <v>295</v>
      </c>
      <c r="F12">
        <f t="shared" si="0"/>
        <v>0.5914779661016949</v>
      </c>
      <c r="G12">
        <f t="shared" si="1"/>
        <v>3617.0947799999999</v>
      </c>
      <c r="H12">
        <f t="shared" si="2"/>
        <v>3617.0947799999999</v>
      </c>
      <c r="J12">
        <f t="shared" si="3"/>
        <v>6115.35</v>
      </c>
      <c r="K12">
        <f t="shared" si="4"/>
        <v>6115.35</v>
      </c>
    </row>
    <row r="13" spans="1:11" x14ac:dyDescent="0.3">
      <c r="B13">
        <v>12</v>
      </c>
      <c r="C13">
        <v>45</v>
      </c>
      <c r="D13">
        <v>58</v>
      </c>
      <c r="E13">
        <v>308</v>
      </c>
      <c r="F13">
        <f t="shared" si="0"/>
        <v>0.6126006493506494</v>
      </c>
      <c r="G13">
        <f>F13*E13*$B$5</f>
        <v>3911.3571300000003</v>
      </c>
      <c r="H13">
        <f t="shared" si="2"/>
        <v>3911.3571300000003</v>
      </c>
      <c r="J13">
        <f t="shared" si="3"/>
        <v>6384.84</v>
      </c>
      <c r="K13">
        <f t="shared" si="4"/>
        <v>6384.84</v>
      </c>
    </row>
    <row r="14" spans="1:11" x14ac:dyDescent="0.3">
      <c r="B14">
        <v>13</v>
      </c>
      <c r="C14">
        <v>42.5</v>
      </c>
      <c r="D14">
        <v>58</v>
      </c>
      <c r="E14">
        <v>295</v>
      </c>
      <c r="F14">
        <f t="shared" si="0"/>
        <v>0.60099491525423732</v>
      </c>
      <c r="G14">
        <f t="shared" si="1"/>
        <v>3675.2942549999998</v>
      </c>
      <c r="H14">
        <f t="shared" si="2"/>
        <v>3675.2942549999998</v>
      </c>
      <c r="J14">
        <f t="shared" si="3"/>
        <v>6115.35</v>
      </c>
      <c r="K14">
        <f t="shared" si="4"/>
        <v>6115.35</v>
      </c>
    </row>
    <row r="15" spans="1:11" x14ac:dyDescent="0.3">
      <c r="B15">
        <v>14</v>
      </c>
      <c r="C15">
        <v>40</v>
      </c>
      <c r="D15">
        <v>58</v>
      </c>
      <c r="E15">
        <v>256</v>
      </c>
      <c r="F15">
        <f t="shared" si="0"/>
        <v>0.58103906250000004</v>
      </c>
      <c r="G15">
        <f t="shared" si="1"/>
        <v>3083.5045800000003</v>
      </c>
      <c r="H15">
        <f t="shared" si="2"/>
        <v>3083.5045800000003</v>
      </c>
      <c r="J15">
        <f t="shared" si="3"/>
        <v>5306.88</v>
      </c>
      <c r="K15">
        <f t="shared" si="4"/>
        <v>5306.88</v>
      </c>
    </row>
    <row r="16" spans="1:11" x14ac:dyDescent="0.3">
      <c r="B16">
        <v>15</v>
      </c>
      <c r="C16">
        <v>37.5</v>
      </c>
      <c r="D16">
        <v>58</v>
      </c>
      <c r="E16">
        <v>193</v>
      </c>
      <c r="F16">
        <f t="shared" si="0"/>
        <v>0.54071761658031092</v>
      </c>
      <c r="G16">
        <f t="shared" si="1"/>
        <v>2163.351705</v>
      </c>
      <c r="H16">
        <f t="shared" si="2"/>
        <v>2163.351705</v>
      </c>
      <c r="J16">
        <f t="shared" si="3"/>
        <v>4000.89</v>
      </c>
      <c r="K16">
        <f t="shared" si="4"/>
        <v>4000.89</v>
      </c>
    </row>
    <row r="17" spans="2:12" x14ac:dyDescent="0.3">
      <c r="B17">
        <v>16</v>
      </c>
      <c r="C17">
        <v>35</v>
      </c>
      <c r="D17">
        <v>58</v>
      </c>
      <c r="E17">
        <v>106</v>
      </c>
      <c r="F17">
        <f t="shared" si="0"/>
        <v>0.41633018867924532</v>
      </c>
      <c r="G17">
        <f t="shared" si="1"/>
        <v>914.83563000000004</v>
      </c>
      <c r="H17">
        <f t="shared" si="2"/>
        <v>914.83563000000004</v>
      </c>
      <c r="J17">
        <f t="shared" si="3"/>
        <v>2197.38</v>
      </c>
      <c r="K17">
        <f t="shared" si="4"/>
        <v>2197.38</v>
      </c>
    </row>
    <row r="19" spans="2:12" x14ac:dyDescent="0.3">
      <c r="G19" s="1" t="s">
        <v>14</v>
      </c>
      <c r="H19" s="1">
        <f>SUM(H9:H17)</f>
        <v>23003.334720000003</v>
      </c>
      <c r="I19" s="1" t="s">
        <v>13</v>
      </c>
      <c r="J19" s="1" t="s">
        <v>15</v>
      </c>
      <c r="K19" s="1">
        <f>SUM(K9:K17)</f>
        <v>41625.839999999997</v>
      </c>
      <c r="L19" s="1" t="s">
        <v>13</v>
      </c>
    </row>
    <row r="21" spans="2:12" x14ac:dyDescent="0.3">
      <c r="J21" t="s">
        <v>16</v>
      </c>
      <c r="K21" s="2">
        <f>H19/K19</f>
        <v>0.55262151394422321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Ghobeity</dc:creator>
  <cp:lastModifiedBy>Amin Ghobeity</cp:lastModifiedBy>
  <dcterms:created xsi:type="dcterms:W3CDTF">2025-11-04T20:19:08Z</dcterms:created>
  <dcterms:modified xsi:type="dcterms:W3CDTF">2025-11-04T20:32:34Z</dcterms:modified>
</cp:coreProperties>
</file>