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eridanc-my.sharepoint.com/personal/ghobeity_shernet_sheridancollege_ca/Documents/Desktop/"/>
    </mc:Choice>
  </mc:AlternateContent>
  <xr:revisionPtr revIDLastSave="0" documentId="8_{6E94EBA7-EF95-4694-90A3-4F60D2E55123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Project Presentation Rubric" sheetId="1" r:id="rId1"/>
    <sheet name="Project Report Rubric" sheetId="2" r:id="rId2"/>
  </sheets>
  <definedNames>
    <definedName name="_xlnm.Print_Area" localSheetId="0">'Project Presentation Rubric'!$A$1:$J$17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2" l="1"/>
  <c r="N5" i="2"/>
  <c r="N6" i="2"/>
  <c r="N8" i="2"/>
  <c r="N9" i="2"/>
  <c r="N10" i="2"/>
  <c r="N11" i="2"/>
  <c r="N12" i="2"/>
  <c r="E13" i="2"/>
  <c r="K7" i="1"/>
  <c r="K8" i="1"/>
  <c r="K9" i="1"/>
  <c r="K10" i="1"/>
  <c r="K11" i="1"/>
  <c r="K12" i="1"/>
  <c r="K13" i="1"/>
  <c r="K14" i="1"/>
  <c r="K15" i="1"/>
  <c r="K16" i="1"/>
  <c r="K6" i="1"/>
  <c r="N13" i="2" l="1"/>
  <c r="K17" i="1"/>
</calcChain>
</file>

<file path=xl/sharedStrings.xml><?xml version="1.0" encoding="utf-8"?>
<sst xmlns="http://schemas.openxmlformats.org/spreadsheetml/2006/main" count="111" uniqueCount="107">
  <si>
    <t>Distracting behaviour</t>
  </si>
  <si>
    <t>Controlled</t>
  </si>
  <si>
    <t>With entire audience</t>
  </si>
  <si>
    <t>Good effort</t>
  </si>
  <si>
    <t>Limited</t>
  </si>
  <si>
    <t>None</t>
  </si>
  <si>
    <t>Eye contact</t>
  </si>
  <si>
    <t>Clarity of speech</t>
  </si>
  <si>
    <t>Poise and manner</t>
  </si>
  <si>
    <t>Acceptable tone of voice</t>
  </si>
  <si>
    <t>Uncomprehensible</t>
  </si>
  <si>
    <t>Time management</t>
  </si>
  <si>
    <t>Clear and pleasant</t>
  </si>
  <si>
    <t>under or over by 20%</t>
  </si>
  <si>
    <t>Evaluation Criteria</t>
  </si>
  <si>
    <t>All members actively participating with coordiantion</t>
  </si>
  <si>
    <t>All members participating with limited coordiantion</t>
  </si>
  <si>
    <t>Selected  members participating</t>
  </si>
  <si>
    <t>One person presenting with no sign of teamwork</t>
  </si>
  <si>
    <t>Natural with good body language</t>
  </si>
  <si>
    <t>No consideration, but not distracting</t>
  </si>
  <si>
    <t>Comprehensible</t>
  </si>
  <si>
    <t>Logical Structure of Presentation</t>
  </si>
  <si>
    <t>Quality of Slides</t>
  </si>
  <si>
    <t>Effective and clear</t>
  </si>
  <si>
    <t>Cut-and-paste of the written report</t>
  </si>
  <si>
    <t>Lack of enthusiasm</t>
  </si>
  <si>
    <t>Image Projection</t>
  </si>
  <si>
    <t>Confident and enthusiastic with positive audience impact</t>
  </si>
  <si>
    <t>Good effort to finish within time</t>
  </si>
  <si>
    <t>Right on time with a good pace</t>
  </si>
  <si>
    <t>Lack of research evidence, with no good understanfing</t>
  </si>
  <si>
    <t>Acceptable information, but no good understanfing</t>
  </si>
  <si>
    <t>Satisfactory information, with good understanfing</t>
  </si>
  <si>
    <t>Evidence of good research and good understanding</t>
  </si>
  <si>
    <t>Limited Audience Attention</t>
  </si>
  <si>
    <t>Takes an effort to comprehend</t>
  </si>
  <si>
    <t>Easy to read</t>
  </si>
  <si>
    <t>Detailed resource planning and work breakdown structure</t>
  </si>
  <si>
    <t>Poor organization</t>
  </si>
  <si>
    <t>Evidence of good organization, with work breakdown structure</t>
  </si>
  <si>
    <t>Natural flow of presentation, with all the necessary slides</t>
  </si>
  <si>
    <t>Missing some slides, but logical structure and flow</t>
  </si>
  <si>
    <t>Missing critical slides, and lack of structure and flow</t>
  </si>
  <si>
    <t>Lack of structure and flow</t>
  </si>
  <si>
    <t>Total in "Exemplary"</t>
  </si>
  <si>
    <t>Total in "Good"</t>
  </si>
  <si>
    <t>Total in "Satisfactory"</t>
  </si>
  <si>
    <t>Total in "Poor"</t>
  </si>
  <si>
    <t>Grand Total</t>
  </si>
  <si>
    <t>limited organization and work breakdown structure</t>
  </si>
  <si>
    <t>Exemplary (8-10)</t>
  </si>
  <si>
    <t>Good (6-8)</t>
  </si>
  <si>
    <t>Satisfactory (4-6)</t>
  </si>
  <si>
    <t>Poor (0-4)</t>
  </si>
  <si>
    <t>Grdae</t>
  </si>
  <si>
    <t>Depth of Knowledge Presented</t>
  </si>
  <si>
    <t>Project Plan Presentation</t>
  </si>
  <si>
    <t>Teamwork (During Presentation)</t>
  </si>
  <si>
    <t>Proper usage of English</t>
  </si>
  <si>
    <t>Excellent sentence structures and very easy to read</t>
  </si>
  <si>
    <t>Good sentence structures with a few minor problems</t>
  </si>
  <si>
    <t>Not easy to read, but no major problems</t>
  </si>
  <si>
    <t>Major issues with sentence structure, spelling and grammar</t>
  </si>
  <si>
    <t>Complete with all the elements in full extent</t>
  </si>
  <si>
    <t>Complete with all the elements, but some incomplete contents</t>
  </si>
  <si>
    <t>Complete report with most of the elements, but a few minor elements missing</t>
  </si>
  <si>
    <t>Incomplete and critical elements missing</t>
  </si>
  <si>
    <t>Complete dis‐array of information with lack of organization and logical</t>
  </si>
  <si>
    <t>Project Objectives</t>
  </si>
  <si>
    <t>Reasonably clear objectives, but some minor problems</t>
  </si>
  <si>
    <t>Unclear project objectives</t>
  </si>
  <si>
    <t>Report Completeness</t>
  </si>
  <si>
    <t>Executive Summary</t>
  </si>
  <si>
    <t>A concise summary of the project with clear description of objectives, approach, and key findings</t>
  </si>
  <si>
    <t>Clear and complete</t>
  </si>
  <si>
    <t>Clear but incomplete and missing details</t>
  </si>
  <si>
    <t>Some evidence of logical thinking, but dis‐jointed summary of the project</t>
  </si>
  <si>
    <t>A good summary but lacking details or includes unnecessary details as part of the summary</t>
  </si>
  <si>
    <t>Weight</t>
  </si>
  <si>
    <t>Good (65-80%)</t>
  </si>
  <si>
    <t>Approach</t>
  </si>
  <si>
    <t>Design</t>
  </si>
  <si>
    <t>Results</t>
  </si>
  <si>
    <t>Discussion and Conclusions</t>
  </si>
  <si>
    <t>Incomplete and lack of clear approach taken</t>
  </si>
  <si>
    <t>Good presentation of the approach, but lacking details</t>
  </si>
  <si>
    <t>Lacking key details in description of the method, assumptions, design variables, or alternatives</t>
  </si>
  <si>
    <t>All alternative and case studies are presented with proper and complete with conceptual designs, design calculations and/or simulations</t>
  </si>
  <si>
    <t>Limited number of design alternatives are considered or design alternatives are not thoroughly examined</t>
  </si>
  <si>
    <t>Exemplary (80-100%)</t>
  </si>
  <si>
    <t>Logical written presentation of method, assumptions, design variables, and design alternatives</t>
  </si>
  <si>
    <t>Lacks the required analysis for evaluation of different alternatives or irrational design alternatives are considered or design calculations/simulations include significant mistakes</t>
  </si>
  <si>
    <t>Limited number of design alternatives are considered or design alternatives are not thoroughly examined or design calculation contain mistakes</t>
  </si>
  <si>
    <t>Logical and persuasive agreement between results/data and conclusions. Impact and
implications of results are presented demonstrating critical thinking</t>
  </si>
  <si>
    <t>Description of the finding
and results is generally
clear. Some discussion of
what results mean is also presented</t>
  </si>
  <si>
    <t>No discussion of the meaning of results and findings. Readers
learn little</t>
  </si>
  <si>
    <t>Little discussion of
what results mean, lacking analytical thinking</t>
  </si>
  <si>
    <t>Complete and relevant results of case studies or design alternatives is presented. Tables and figures are used approriately for an effective presentation of results</t>
  </si>
  <si>
    <t>Incomplete or insignificant results of case studies are presented. Tables and figures are used approriately for an effective presentation of results</t>
  </si>
  <si>
    <t>Incomplete results or inignificant resuts are presented. Poor use of visuals for presentation of results</t>
  </si>
  <si>
    <t>Incomplete or irrelevant results are poorly presented</t>
  </si>
  <si>
    <t>Project Presentation Rubric</t>
  </si>
  <si>
    <t>Project Report Rubric</t>
  </si>
  <si>
    <t>Satisfactory (50-60%)</t>
  </si>
  <si>
    <t>Poor (&lt;50%)</t>
  </si>
  <si>
    <r>
      <t xml:space="preserve">within </t>
    </r>
    <r>
      <rPr>
        <sz val="10"/>
        <color theme="1"/>
        <rFont val="Symbol"/>
        <family val="1"/>
        <charset val="2"/>
      </rPr>
      <t>±</t>
    </r>
    <r>
      <rPr>
        <sz val="10"/>
        <color theme="1"/>
        <rFont val="Constantia"/>
        <family val="1"/>
      </rPr>
      <t xml:space="preserve"> 20%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</si>
</sst>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onstantia"/>
      <family val="1"/>
    </font>
    <font>
      <b/>
      <sz val="18"/>
      <color rgb="FF0070C0"/>
      <name val="Constantia"/>
      <family val="1"/>
    </font>
    <font>
      <b/>
      <sz val="11"/>
      <color rgb="FF0070C0"/>
      <name val="Constantia"/>
      <family val="1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70C0"/>
      <name val="Constantia"/>
      <family val="1"/>
    </font>
    <font>
      <b/>
      <sz val="10"/>
      <color theme="1"/>
      <name val="Cambria"/>
      <family val="1"/>
      <scheme val="major"/>
    </font>
    <font>
      <b/>
      <sz val="10"/>
      <color theme="1"/>
      <name val="Constantia"/>
      <family val="1"/>
    </font>
    <font>
      <sz val="10"/>
      <color rgb="FF000000"/>
      <name val="Calibri"/>
      <family val="2"/>
      <scheme val="minor"/>
    </font>
    <font>
      <sz val="10"/>
      <name val="Constantia"/>
      <family val="1"/>
    </font>
    <font>
      <b/>
      <sz val="10"/>
      <name val="Constantia"/>
      <family val="1"/>
    </font>
    <font>
      <sz val="10"/>
      <color theme="1"/>
      <name val="Calibri"/>
      <family val="2"/>
      <scheme val="minor"/>
    </font>
    <font>
      <sz val="10"/>
      <color theme="1"/>
      <name val="Constantia"/>
      <family val="1"/>
    </font>
    <font>
      <sz val="10"/>
      <color theme="1"/>
      <name val="Symbol"/>
      <family val="1"/>
      <charset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6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/>
    </xf>
    <xf numFmtId="0" fontId="3" fillId="0" borderId="0" xfId="0" applyFont="1" applyAlignment="1">
      <alignment vertical="top"/>
    </xf>
    <xf numFmtId="0" fontId="2" fillId="0" borderId="0" xfId="0" applyFont="1" applyAlignment="1">
      <alignment horizontal="left" vertical="top"/>
    </xf>
    <xf numFmtId="0" fontId="5" fillId="2" borderId="13" xfId="0" applyFont="1" applyFill="1" applyBorder="1" applyAlignment="1">
      <alignment vertical="top" wrapText="1"/>
    </xf>
    <xf numFmtId="9" fontId="5" fillId="2" borderId="9" xfId="1" applyFont="1" applyFill="1" applyBorder="1" applyAlignment="1">
      <alignment vertical="top" wrapText="1"/>
    </xf>
    <xf numFmtId="9" fontId="5" fillId="2" borderId="9" xfId="1" applyFont="1" applyFill="1" applyBorder="1" applyAlignment="1">
      <alignment horizontal="center" vertical="center" wrapText="1"/>
    </xf>
    <xf numFmtId="9" fontId="5" fillId="2" borderId="10" xfId="1" applyFont="1" applyFill="1" applyBorder="1" applyAlignment="1">
      <alignment horizontal="center" vertical="top" wrapText="1"/>
    </xf>
    <xf numFmtId="9" fontId="5" fillId="2" borderId="11" xfId="1" applyFont="1" applyFill="1" applyBorder="1" applyAlignment="1">
      <alignment horizontal="center" vertical="top" wrapText="1"/>
    </xf>
    <xf numFmtId="9" fontId="5" fillId="2" borderId="10" xfId="1" applyFont="1" applyFill="1" applyBorder="1" applyAlignment="1">
      <alignment horizontal="center" vertical="center" wrapText="1"/>
    </xf>
    <xf numFmtId="9" fontId="5" fillId="2" borderId="11" xfId="1" applyFont="1" applyFill="1" applyBorder="1" applyAlignment="1">
      <alignment horizontal="center" vertical="center" wrapText="1"/>
    </xf>
    <xf numFmtId="2" fontId="5" fillId="2" borderId="9" xfId="1" applyNumberFormat="1" applyFont="1" applyFill="1" applyBorder="1" applyAlignment="1">
      <alignment horizontal="center" vertical="center" wrapText="1"/>
    </xf>
    <xf numFmtId="2" fontId="5" fillId="2" borderId="10" xfId="1" applyNumberFormat="1" applyFont="1" applyFill="1" applyBorder="1" applyAlignment="1">
      <alignment horizontal="center" vertical="center" wrapText="1"/>
    </xf>
    <xf numFmtId="2" fontId="5" fillId="2" borderId="11" xfId="1" applyNumberFormat="1" applyFont="1" applyFill="1" applyBorder="1" applyAlignment="1">
      <alignment horizontal="center" vertical="center" wrapText="1"/>
    </xf>
    <xf numFmtId="9" fontId="6" fillId="2" borderId="9" xfId="1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top"/>
    </xf>
    <xf numFmtId="0" fontId="5" fillId="2" borderId="0" xfId="0" applyFont="1" applyFill="1" applyBorder="1" applyAlignment="1">
      <alignment horizontal="center" vertical="top" wrapText="1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10" fillId="2" borderId="9" xfId="0" applyFont="1" applyFill="1" applyBorder="1" applyAlignment="1">
      <alignment vertical="top" wrapText="1"/>
    </xf>
    <xf numFmtId="0" fontId="11" fillId="2" borderId="7" xfId="0" applyFont="1" applyFill="1" applyBorder="1" applyAlignment="1">
      <alignment vertical="top" wrapText="1"/>
    </xf>
    <xf numFmtId="0" fontId="11" fillId="2" borderId="8" xfId="0" applyFont="1" applyFill="1" applyBorder="1" applyAlignment="1">
      <alignment vertical="top" wrapText="1"/>
    </xf>
    <xf numFmtId="0" fontId="11" fillId="2" borderId="16" xfId="0" applyFont="1" applyFill="1" applyBorder="1" applyAlignment="1">
      <alignment vertical="top" wrapText="1"/>
    </xf>
    <xf numFmtId="0" fontId="11" fillId="2" borderId="16" xfId="0" applyFont="1" applyFill="1" applyBorder="1" applyAlignment="1">
      <alignment horizontal="center" vertical="top" wrapText="1"/>
    </xf>
    <xf numFmtId="0" fontId="11" fillId="2" borderId="9" xfId="0" applyFont="1" applyFill="1" applyBorder="1" applyAlignment="1">
      <alignment vertical="top" wrapText="1"/>
    </xf>
    <xf numFmtId="0" fontId="10" fillId="2" borderId="10" xfId="0" applyFont="1" applyFill="1" applyBorder="1" applyAlignment="1">
      <alignment vertical="top" wrapText="1"/>
    </xf>
    <xf numFmtId="0" fontId="11" fillId="2" borderId="12" xfId="0" applyFont="1" applyFill="1" applyBorder="1" applyAlignment="1">
      <alignment vertical="top" wrapText="1"/>
    </xf>
    <xf numFmtId="0" fontId="11" fillId="2" borderId="13" xfId="0" applyFont="1" applyFill="1" applyBorder="1" applyAlignment="1">
      <alignment vertical="top" wrapText="1"/>
    </xf>
    <xf numFmtId="0" fontId="11" fillId="2" borderId="17" xfId="0" applyFont="1" applyFill="1" applyBorder="1" applyAlignment="1">
      <alignment vertical="top" wrapText="1"/>
    </xf>
    <xf numFmtId="0" fontId="11" fillId="2" borderId="10" xfId="0" applyFont="1" applyFill="1" applyBorder="1" applyAlignment="1">
      <alignment horizontal="center" vertical="top" wrapText="1"/>
    </xf>
    <xf numFmtId="0" fontId="11" fillId="2" borderId="10" xfId="0" applyFont="1" applyFill="1" applyBorder="1" applyAlignment="1">
      <alignment vertical="top" wrapText="1"/>
    </xf>
    <xf numFmtId="0" fontId="10" fillId="2" borderId="11" xfId="0" applyFont="1" applyFill="1" applyBorder="1" applyAlignment="1">
      <alignment vertical="top" wrapText="1"/>
    </xf>
    <xf numFmtId="0" fontId="11" fillId="2" borderId="14" xfId="0" applyFont="1" applyFill="1" applyBorder="1" applyAlignment="1">
      <alignment vertical="top" wrapText="1"/>
    </xf>
    <xf numFmtId="0" fontId="11" fillId="2" borderId="15" xfId="0" applyFont="1" applyFill="1" applyBorder="1" applyAlignment="1">
      <alignment vertical="top" wrapText="1"/>
    </xf>
    <xf numFmtId="0" fontId="11" fillId="2" borderId="6" xfId="0" applyFont="1" applyFill="1" applyBorder="1" applyAlignment="1">
      <alignment vertical="top" wrapText="1"/>
    </xf>
    <xf numFmtId="0" fontId="11" fillId="2" borderId="11" xfId="0" applyFont="1" applyFill="1" applyBorder="1" applyAlignment="1">
      <alignment horizontal="center" vertical="top" wrapText="1"/>
    </xf>
    <xf numFmtId="0" fontId="11" fillId="2" borderId="11" xfId="0" applyFont="1" applyFill="1" applyBorder="1" applyAlignment="1">
      <alignment vertical="top" wrapText="1"/>
    </xf>
    <xf numFmtId="0" fontId="10" fillId="2" borderId="10" xfId="0" applyFont="1" applyFill="1" applyBorder="1" applyAlignment="1">
      <alignment vertical="top" wrapText="1"/>
    </xf>
    <xf numFmtId="0" fontId="11" fillId="2" borderId="17" xfId="0" applyFont="1" applyFill="1" applyBorder="1" applyAlignment="1">
      <alignment horizontal="center" vertical="top" wrapText="1"/>
    </xf>
    <xf numFmtId="0" fontId="11" fillId="2" borderId="10" xfId="0" applyFont="1" applyFill="1" applyBorder="1" applyAlignment="1">
      <alignment vertical="top" wrapText="1"/>
    </xf>
    <xf numFmtId="0" fontId="11" fillId="2" borderId="1" xfId="0" applyFont="1" applyFill="1" applyBorder="1" applyAlignment="1">
      <alignment vertical="top" wrapText="1"/>
    </xf>
    <xf numFmtId="0" fontId="11" fillId="2" borderId="13" xfId="0" applyFont="1" applyFill="1" applyBorder="1" applyAlignment="1">
      <alignment horizontal="center" vertical="top" wrapText="1"/>
    </xf>
    <xf numFmtId="0" fontId="11" fillId="2" borderId="17" xfId="0" applyFont="1" applyFill="1" applyBorder="1" applyAlignment="1">
      <alignment horizontal="center" vertical="top" wrapText="1"/>
    </xf>
    <xf numFmtId="0" fontId="12" fillId="2" borderId="7" xfId="0" applyFont="1" applyFill="1" applyBorder="1" applyAlignment="1">
      <alignment horizontal="center" vertical="top" wrapText="1"/>
    </xf>
    <xf numFmtId="0" fontId="12" fillId="2" borderId="16" xfId="0" applyFont="1" applyFill="1" applyBorder="1" applyAlignment="1">
      <alignment horizontal="center" vertical="top" wrapText="1"/>
    </xf>
    <xf numFmtId="0" fontId="13" fillId="0" borderId="0" xfId="0" applyFont="1"/>
    <xf numFmtId="0" fontId="9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3" fillId="0" borderId="1" xfId="0" applyFont="1" applyBorder="1"/>
    <xf numFmtId="0" fontId="14" fillId="0" borderId="0" xfId="0" applyFont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0" xfId="0" applyFont="1"/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9" fontId="9" fillId="0" borderId="3" xfId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showGridLines="0" zoomScale="59" workbookViewId="0">
      <selection activeCell="B1" sqref="B1:J2"/>
    </sheetView>
  </sheetViews>
  <sheetFormatPr defaultRowHeight="14.5" x14ac:dyDescent="0.35"/>
  <cols>
    <col min="1" max="1" width="3.81640625" customWidth="1"/>
    <col min="2" max="2" width="30.90625" bestFit="1" customWidth="1"/>
    <col min="3" max="3" width="24.81640625" customWidth="1"/>
    <col min="4" max="4" width="7.81640625" customWidth="1"/>
    <col min="5" max="5" width="24.81640625" customWidth="1"/>
    <col min="6" max="6" width="9" customWidth="1"/>
    <col min="7" max="7" width="24.81640625" customWidth="1"/>
    <col min="8" max="8" width="9.1796875" customWidth="1"/>
    <col min="9" max="9" width="24.81640625" customWidth="1"/>
    <col min="10" max="10" width="9.81640625" customWidth="1"/>
  </cols>
  <sheetData>
    <row r="1" spans="1:11" ht="14.4" customHeight="1" x14ac:dyDescent="0.35">
      <c r="B1" s="4" t="s">
        <v>102</v>
      </c>
      <c r="C1" s="4"/>
      <c r="D1" s="4"/>
      <c r="E1" s="4"/>
      <c r="F1" s="4"/>
      <c r="G1" s="4"/>
      <c r="H1" s="4"/>
      <c r="I1" s="4"/>
      <c r="J1" s="4"/>
      <c r="K1" s="2"/>
    </row>
    <row r="2" spans="1:11" ht="7.5" customHeight="1" x14ac:dyDescent="0.35">
      <c r="A2" s="2"/>
      <c r="B2" s="4"/>
      <c r="C2" s="4"/>
      <c r="D2" s="4"/>
      <c r="E2" s="4"/>
      <c r="F2" s="4"/>
      <c r="G2" s="4"/>
      <c r="H2" s="4"/>
      <c r="I2" s="4"/>
      <c r="J2" s="4"/>
      <c r="K2" s="2"/>
    </row>
    <row r="3" spans="1:11" ht="20" hidden="1" customHeight="1" x14ac:dyDescent="0.35"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ht="20" customHeight="1" x14ac:dyDescent="0.35"/>
    <row r="5" spans="1:11" ht="30" customHeight="1" x14ac:dyDescent="0.35">
      <c r="A5" s="48"/>
      <c r="B5" s="49" t="s">
        <v>14</v>
      </c>
      <c r="C5" s="20" t="s">
        <v>51</v>
      </c>
      <c r="D5" s="20"/>
      <c r="E5" s="20" t="s">
        <v>52</v>
      </c>
      <c r="F5" s="20"/>
      <c r="G5" s="20" t="s">
        <v>53</v>
      </c>
      <c r="H5" s="20"/>
      <c r="I5" s="20" t="s">
        <v>54</v>
      </c>
      <c r="J5" s="20"/>
      <c r="K5" s="21" t="s">
        <v>55</v>
      </c>
    </row>
    <row r="6" spans="1:11" ht="50" customHeight="1" x14ac:dyDescent="0.35">
      <c r="A6" s="50">
        <v>1</v>
      </c>
      <c r="B6" s="51" t="s">
        <v>8</v>
      </c>
      <c r="C6" s="51" t="s">
        <v>19</v>
      </c>
      <c r="D6" s="52"/>
      <c r="E6" s="51" t="s">
        <v>1</v>
      </c>
      <c r="F6" s="52">
        <v>5</v>
      </c>
      <c r="G6" s="51" t="s">
        <v>20</v>
      </c>
      <c r="H6" s="52"/>
      <c r="I6" s="51" t="s">
        <v>0</v>
      </c>
      <c r="J6" s="52"/>
      <c r="K6" s="52">
        <f>SUM(D6,F6,H6,J6)</f>
        <v>5</v>
      </c>
    </row>
    <row r="7" spans="1:11" ht="50" customHeight="1" x14ac:dyDescent="0.35">
      <c r="A7" s="50">
        <v>2</v>
      </c>
      <c r="B7" s="51" t="s">
        <v>6</v>
      </c>
      <c r="C7" s="51" t="s">
        <v>2</v>
      </c>
      <c r="D7" s="52"/>
      <c r="E7" s="51" t="s">
        <v>3</v>
      </c>
      <c r="F7" s="52">
        <v>6</v>
      </c>
      <c r="G7" s="51" t="s">
        <v>4</v>
      </c>
      <c r="H7" s="52"/>
      <c r="I7" s="51" t="s">
        <v>5</v>
      </c>
      <c r="J7" s="52"/>
      <c r="K7" s="52">
        <f t="shared" ref="K7:K16" si="0">SUM(D7,F7,H7,J7)</f>
        <v>6</v>
      </c>
    </row>
    <row r="8" spans="1:11" ht="50" customHeight="1" x14ac:dyDescent="0.35">
      <c r="A8" s="50">
        <v>3</v>
      </c>
      <c r="B8" s="51" t="s">
        <v>27</v>
      </c>
      <c r="C8" s="51" t="s">
        <v>28</v>
      </c>
      <c r="D8" s="52">
        <v>8</v>
      </c>
      <c r="E8" s="51" t="s">
        <v>3</v>
      </c>
      <c r="F8" s="52"/>
      <c r="G8" s="51" t="s">
        <v>26</v>
      </c>
      <c r="H8" s="52"/>
      <c r="I8" s="51" t="s">
        <v>35</v>
      </c>
      <c r="J8" s="52"/>
      <c r="K8" s="52">
        <f t="shared" si="0"/>
        <v>8</v>
      </c>
    </row>
    <row r="9" spans="1:11" ht="50" customHeight="1" x14ac:dyDescent="0.35">
      <c r="A9" s="50">
        <v>4</v>
      </c>
      <c r="B9" s="51" t="s">
        <v>7</v>
      </c>
      <c r="C9" s="51" t="s">
        <v>12</v>
      </c>
      <c r="D9" s="52"/>
      <c r="E9" s="51" t="s">
        <v>21</v>
      </c>
      <c r="F9" s="52">
        <v>6</v>
      </c>
      <c r="G9" s="51" t="s">
        <v>9</v>
      </c>
      <c r="H9" s="52"/>
      <c r="I9" s="51" t="s">
        <v>10</v>
      </c>
      <c r="J9" s="52"/>
      <c r="K9" s="52">
        <f t="shared" si="0"/>
        <v>6</v>
      </c>
    </row>
    <row r="10" spans="1:11" ht="50" customHeight="1" x14ac:dyDescent="0.35">
      <c r="A10" s="50">
        <v>5</v>
      </c>
      <c r="B10" s="51" t="s">
        <v>22</v>
      </c>
      <c r="C10" s="51" t="s">
        <v>41</v>
      </c>
      <c r="D10" s="52"/>
      <c r="E10" s="51" t="s">
        <v>42</v>
      </c>
      <c r="F10" s="52"/>
      <c r="G10" s="51" t="s">
        <v>44</v>
      </c>
      <c r="H10" s="52">
        <v>5</v>
      </c>
      <c r="I10" s="51" t="s">
        <v>43</v>
      </c>
      <c r="J10" s="52"/>
      <c r="K10" s="52">
        <f t="shared" si="0"/>
        <v>5</v>
      </c>
    </row>
    <row r="11" spans="1:11" ht="50" customHeight="1" x14ac:dyDescent="0.35">
      <c r="A11" s="50">
        <v>6</v>
      </c>
      <c r="B11" s="52" t="s">
        <v>23</v>
      </c>
      <c r="C11" s="51" t="s">
        <v>24</v>
      </c>
      <c r="D11" s="52"/>
      <c r="E11" s="51" t="s">
        <v>37</v>
      </c>
      <c r="F11" s="52">
        <v>8</v>
      </c>
      <c r="G11" s="51" t="s">
        <v>36</v>
      </c>
      <c r="H11" s="52"/>
      <c r="I11" s="51" t="s">
        <v>25</v>
      </c>
      <c r="J11" s="53"/>
      <c r="K11" s="52">
        <f t="shared" si="0"/>
        <v>8</v>
      </c>
    </row>
    <row r="12" spans="1:11" ht="50" customHeight="1" x14ac:dyDescent="0.35">
      <c r="A12" s="50">
        <v>7</v>
      </c>
      <c r="B12" s="52" t="s">
        <v>56</v>
      </c>
      <c r="C12" s="51" t="s">
        <v>34</v>
      </c>
      <c r="D12" s="52"/>
      <c r="E12" s="51" t="s">
        <v>33</v>
      </c>
      <c r="F12" s="52">
        <v>7</v>
      </c>
      <c r="G12" s="51" t="s">
        <v>32</v>
      </c>
      <c r="H12" s="52"/>
      <c r="I12" s="51" t="s">
        <v>31</v>
      </c>
      <c r="J12" s="54"/>
      <c r="K12" s="52">
        <f t="shared" si="0"/>
        <v>7</v>
      </c>
    </row>
    <row r="13" spans="1:11" ht="50" customHeight="1" x14ac:dyDescent="0.35">
      <c r="A13" s="50">
        <v>8</v>
      </c>
      <c r="B13" s="51" t="s">
        <v>57</v>
      </c>
      <c r="C13" s="51" t="s">
        <v>38</v>
      </c>
      <c r="D13" s="52"/>
      <c r="E13" s="51" t="s">
        <v>40</v>
      </c>
      <c r="F13" s="52">
        <v>6</v>
      </c>
      <c r="G13" s="51" t="s">
        <v>50</v>
      </c>
      <c r="H13" s="52"/>
      <c r="I13" s="52" t="s">
        <v>39</v>
      </c>
      <c r="J13" s="54"/>
      <c r="K13" s="52">
        <f t="shared" si="0"/>
        <v>6</v>
      </c>
    </row>
    <row r="14" spans="1:11" ht="50" customHeight="1" x14ac:dyDescent="0.35">
      <c r="A14" s="50">
        <v>9</v>
      </c>
      <c r="B14" s="52" t="s">
        <v>58</v>
      </c>
      <c r="C14" s="51" t="s">
        <v>15</v>
      </c>
      <c r="D14" s="52"/>
      <c r="E14" s="51" t="s">
        <v>16</v>
      </c>
      <c r="F14" s="52">
        <v>6</v>
      </c>
      <c r="G14" s="51" t="s">
        <v>17</v>
      </c>
      <c r="H14" s="52"/>
      <c r="I14" s="51" t="s">
        <v>18</v>
      </c>
      <c r="J14" s="54"/>
      <c r="K14" s="52">
        <f t="shared" si="0"/>
        <v>6</v>
      </c>
    </row>
    <row r="15" spans="1:11" ht="50" customHeight="1" x14ac:dyDescent="0.35">
      <c r="A15" s="50">
        <v>10</v>
      </c>
      <c r="B15" s="52" t="s">
        <v>11</v>
      </c>
      <c r="C15" s="51" t="s">
        <v>30</v>
      </c>
      <c r="D15" s="52"/>
      <c r="E15" s="51" t="s">
        <v>29</v>
      </c>
      <c r="F15" s="52">
        <v>8</v>
      </c>
      <c r="G15" s="52" t="s">
        <v>106</v>
      </c>
      <c r="H15" s="52"/>
      <c r="I15" s="52" t="s">
        <v>13</v>
      </c>
      <c r="J15" s="54"/>
      <c r="K15" s="52">
        <f t="shared" si="0"/>
        <v>8</v>
      </c>
    </row>
    <row r="16" spans="1:11" ht="20" customHeight="1" thickBot="1" x14ac:dyDescent="0.4">
      <c r="A16" s="55"/>
      <c r="B16" s="55"/>
      <c r="C16" s="52" t="s">
        <v>45</v>
      </c>
      <c r="D16" s="52"/>
      <c r="E16" s="52" t="s">
        <v>46</v>
      </c>
      <c r="F16" s="52"/>
      <c r="G16" s="52" t="s">
        <v>47</v>
      </c>
      <c r="H16" s="52"/>
      <c r="I16" s="52" t="s">
        <v>48</v>
      </c>
      <c r="J16" s="52"/>
      <c r="K16" s="56">
        <f t="shared" si="0"/>
        <v>0</v>
      </c>
    </row>
    <row r="17" spans="1:11" ht="20" customHeight="1" thickBot="1" x14ac:dyDescent="0.4">
      <c r="A17" s="48"/>
      <c r="B17" s="57"/>
      <c r="C17" s="48"/>
      <c r="D17" s="48"/>
      <c r="E17" s="48"/>
      <c r="F17" s="48"/>
      <c r="G17" s="48"/>
      <c r="H17" s="48"/>
      <c r="I17" s="58" t="s">
        <v>49</v>
      </c>
      <c r="J17" s="59"/>
      <c r="K17" s="60">
        <f>SUM(K6:K16)/100</f>
        <v>0.65</v>
      </c>
    </row>
    <row r="18" spans="1:11" ht="20" customHeight="1" x14ac:dyDescent="0.35">
      <c r="B18" s="1"/>
    </row>
    <row r="19" spans="1:11" ht="20" customHeight="1" x14ac:dyDescent="0.35">
      <c r="B19" s="1"/>
    </row>
    <row r="20" spans="1:11" x14ac:dyDescent="0.35">
      <c r="B20" s="1"/>
    </row>
    <row r="21" spans="1:11" x14ac:dyDescent="0.35">
      <c r="B21" s="1"/>
    </row>
    <row r="22" spans="1:11" x14ac:dyDescent="0.35">
      <c r="B22" s="1"/>
    </row>
  </sheetData>
  <mergeCells count="6">
    <mergeCell ref="I17:J17"/>
    <mergeCell ref="C5:D5"/>
    <mergeCell ref="E5:F5"/>
    <mergeCell ref="G5:H5"/>
    <mergeCell ref="I5:J5"/>
    <mergeCell ref="B1:J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5"/>
  <sheetViews>
    <sheetView tabSelected="1" zoomScale="70" zoomScaleNormal="70" workbookViewId="0">
      <selection activeCell="V9" sqref="V9"/>
    </sheetView>
  </sheetViews>
  <sheetFormatPr defaultRowHeight="14.5" x14ac:dyDescent="0.35"/>
  <cols>
    <col min="1" max="1" width="5.36328125" customWidth="1"/>
    <col min="6" max="6" width="20.90625" customWidth="1"/>
    <col min="8" max="8" width="19.36328125" customWidth="1"/>
    <col min="10" max="10" width="16.54296875" customWidth="1"/>
    <col min="12" max="12" width="16.7265625" customWidth="1"/>
    <col min="13" max="13" width="11.08984375" customWidth="1"/>
  </cols>
  <sheetData>
    <row r="1" spans="1:22" ht="22" customHeight="1" x14ac:dyDescent="0.35">
      <c r="B1" s="4" t="s">
        <v>103</v>
      </c>
      <c r="C1" s="4"/>
      <c r="D1" s="4"/>
      <c r="E1" s="4"/>
      <c r="F1" s="4"/>
      <c r="G1" s="4"/>
      <c r="H1" s="4"/>
      <c r="I1" s="4"/>
      <c r="J1" s="4"/>
      <c r="K1" s="2"/>
    </row>
    <row r="2" spans="1:22" ht="14.4" customHeight="1" x14ac:dyDescent="0.35">
      <c r="B2" s="16"/>
      <c r="C2" s="16"/>
      <c r="D2" s="16"/>
      <c r="E2" s="16"/>
      <c r="F2" s="16"/>
      <c r="G2" s="16"/>
      <c r="H2" s="16"/>
      <c r="I2" s="16"/>
      <c r="J2" s="16"/>
      <c r="K2" s="2"/>
    </row>
    <row r="3" spans="1:22" x14ac:dyDescent="0.35">
      <c r="B3" s="18" t="s">
        <v>14</v>
      </c>
      <c r="C3" s="18"/>
      <c r="D3" s="18"/>
      <c r="E3" s="19" t="s">
        <v>79</v>
      </c>
      <c r="F3" s="20" t="s">
        <v>90</v>
      </c>
      <c r="G3" s="20"/>
      <c r="H3" s="20" t="s">
        <v>80</v>
      </c>
      <c r="I3" s="20"/>
      <c r="J3" s="20" t="s">
        <v>104</v>
      </c>
      <c r="K3" s="20"/>
      <c r="L3" s="20" t="s">
        <v>105</v>
      </c>
      <c r="M3" s="20"/>
      <c r="N3" s="21" t="s">
        <v>55</v>
      </c>
    </row>
    <row r="4" spans="1:22" ht="52" x14ac:dyDescent="0.35">
      <c r="A4" s="22">
        <v>1</v>
      </c>
      <c r="B4" s="23" t="s">
        <v>59</v>
      </c>
      <c r="C4" s="24"/>
      <c r="D4" s="25"/>
      <c r="E4" s="26">
        <v>10</v>
      </c>
      <c r="F4" s="27" t="s">
        <v>60</v>
      </c>
      <c r="G4" s="6"/>
      <c r="H4" s="27" t="s">
        <v>61</v>
      </c>
      <c r="I4" s="6">
        <v>0.7</v>
      </c>
      <c r="J4" s="27" t="s">
        <v>62</v>
      </c>
      <c r="K4" s="6"/>
      <c r="L4" s="27" t="s">
        <v>63</v>
      </c>
      <c r="M4" s="7"/>
      <c r="N4" s="12">
        <f>E4*(G4+I4+K4+M4)</f>
        <v>7</v>
      </c>
    </row>
    <row r="5" spans="1:22" ht="65" x14ac:dyDescent="0.35">
      <c r="A5" s="22">
        <v>2</v>
      </c>
      <c r="B5" s="23" t="s">
        <v>72</v>
      </c>
      <c r="C5" s="24"/>
      <c r="D5" s="25"/>
      <c r="E5" s="26">
        <v>10</v>
      </c>
      <c r="F5" s="27" t="s">
        <v>64</v>
      </c>
      <c r="G5" s="6">
        <v>1</v>
      </c>
      <c r="H5" s="27" t="s">
        <v>65</v>
      </c>
      <c r="I5" s="6"/>
      <c r="J5" s="27" t="s">
        <v>66</v>
      </c>
      <c r="K5" s="6"/>
      <c r="L5" s="27" t="s">
        <v>67</v>
      </c>
      <c r="M5" s="7"/>
      <c r="N5" s="12">
        <f t="shared" ref="N5:N12" si="0">E5*(G5+I5+K5+M5)</f>
        <v>10</v>
      </c>
    </row>
    <row r="6" spans="1:22" x14ac:dyDescent="0.35">
      <c r="A6" s="28">
        <v>3</v>
      </c>
      <c r="B6" s="29" t="s">
        <v>73</v>
      </c>
      <c r="C6" s="30"/>
      <c r="D6" s="31"/>
      <c r="E6" s="32">
        <v>15</v>
      </c>
      <c r="F6" s="33" t="s">
        <v>74</v>
      </c>
      <c r="G6" s="8"/>
      <c r="H6" s="33" t="s">
        <v>78</v>
      </c>
      <c r="I6" s="8">
        <v>0.8</v>
      </c>
      <c r="J6" s="33" t="s">
        <v>77</v>
      </c>
      <c r="K6" s="8"/>
      <c r="L6" s="33" t="s">
        <v>68</v>
      </c>
      <c r="M6" s="10"/>
      <c r="N6" s="13">
        <f t="shared" si="0"/>
        <v>12</v>
      </c>
    </row>
    <row r="7" spans="1:22" ht="35" customHeight="1" x14ac:dyDescent="0.35">
      <c r="A7" s="34"/>
      <c r="B7" s="35"/>
      <c r="C7" s="36"/>
      <c r="D7" s="37"/>
      <c r="E7" s="38"/>
      <c r="F7" s="39"/>
      <c r="G7" s="9"/>
      <c r="H7" s="39"/>
      <c r="I7" s="9"/>
      <c r="J7" s="39"/>
      <c r="K7" s="9"/>
      <c r="L7" s="39"/>
      <c r="M7" s="11"/>
      <c r="N7" s="14"/>
    </row>
    <row r="8" spans="1:22" ht="52" x14ac:dyDescent="0.35">
      <c r="A8" s="22">
        <v>4</v>
      </c>
      <c r="B8" s="23" t="s">
        <v>69</v>
      </c>
      <c r="C8" s="24"/>
      <c r="D8" s="25"/>
      <c r="E8" s="26">
        <v>5</v>
      </c>
      <c r="F8" s="27" t="s">
        <v>75</v>
      </c>
      <c r="G8" s="6">
        <v>1</v>
      </c>
      <c r="H8" s="27" t="s">
        <v>76</v>
      </c>
      <c r="I8" s="6"/>
      <c r="J8" s="27" t="s">
        <v>70</v>
      </c>
      <c r="K8" s="6"/>
      <c r="L8" s="27" t="s">
        <v>71</v>
      </c>
      <c r="M8" s="7"/>
      <c r="N8" s="12">
        <f t="shared" si="0"/>
        <v>5</v>
      </c>
    </row>
    <row r="9" spans="1:22" ht="78" x14ac:dyDescent="0.35">
      <c r="A9" s="22">
        <v>5</v>
      </c>
      <c r="B9" s="23" t="s">
        <v>81</v>
      </c>
      <c r="C9" s="24"/>
      <c r="D9" s="25"/>
      <c r="E9" s="26">
        <v>10</v>
      </c>
      <c r="F9" s="27" t="s">
        <v>91</v>
      </c>
      <c r="G9" s="6"/>
      <c r="H9" s="27" t="s">
        <v>86</v>
      </c>
      <c r="I9" s="6">
        <v>0.8</v>
      </c>
      <c r="J9" s="27" t="s">
        <v>87</v>
      </c>
      <c r="K9" s="6"/>
      <c r="L9" s="27" t="s">
        <v>85</v>
      </c>
      <c r="M9" s="7"/>
      <c r="N9" s="12">
        <f t="shared" si="0"/>
        <v>8</v>
      </c>
    </row>
    <row r="10" spans="1:22" ht="156" x14ac:dyDescent="0.35">
      <c r="A10" s="22">
        <v>6</v>
      </c>
      <c r="B10" s="23" t="s">
        <v>82</v>
      </c>
      <c r="C10" s="24"/>
      <c r="D10" s="25"/>
      <c r="E10" s="26">
        <v>25</v>
      </c>
      <c r="F10" s="27" t="s">
        <v>88</v>
      </c>
      <c r="G10" s="6"/>
      <c r="H10" s="27" t="s">
        <v>89</v>
      </c>
      <c r="I10" s="6">
        <v>0.7</v>
      </c>
      <c r="J10" s="27" t="s">
        <v>93</v>
      </c>
      <c r="K10" s="6"/>
      <c r="L10" s="27" t="s">
        <v>92</v>
      </c>
      <c r="M10" s="7"/>
      <c r="N10" s="12">
        <f t="shared" si="0"/>
        <v>17.5</v>
      </c>
    </row>
    <row r="11" spans="1:22" ht="104" x14ac:dyDescent="0.35">
      <c r="A11" s="22">
        <v>7</v>
      </c>
      <c r="B11" s="23" t="s">
        <v>83</v>
      </c>
      <c r="C11" s="24"/>
      <c r="D11" s="25"/>
      <c r="E11" s="26">
        <v>10</v>
      </c>
      <c r="F11" s="27" t="s">
        <v>98</v>
      </c>
      <c r="G11" s="6"/>
      <c r="H11" s="27" t="s">
        <v>99</v>
      </c>
      <c r="I11" s="6">
        <v>0.8</v>
      </c>
      <c r="J11" s="27" t="s">
        <v>100</v>
      </c>
      <c r="K11" s="6"/>
      <c r="L11" s="27" t="s">
        <v>101</v>
      </c>
      <c r="M11" s="7"/>
      <c r="N11" s="12">
        <f t="shared" si="0"/>
        <v>8</v>
      </c>
    </row>
    <row r="12" spans="1:22" ht="104" x14ac:dyDescent="0.35">
      <c r="A12" s="40">
        <v>8</v>
      </c>
      <c r="B12" s="29" t="s">
        <v>84</v>
      </c>
      <c r="C12" s="30"/>
      <c r="D12" s="31"/>
      <c r="E12" s="41">
        <v>15</v>
      </c>
      <c r="F12" s="42" t="s">
        <v>94</v>
      </c>
      <c r="G12" s="6"/>
      <c r="H12" s="42" t="s">
        <v>95</v>
      </c>
      <c r="I12" s="6"/>
      <c r="J12" s="42" t="s">
        <v>97</v>
      </c>
      <c r="K12" s="6">
        <v>0.6</v>
      </c>
      <c r="L12" s="42" t="s">
        <v>96</v>
      </c>
      <c r="M12" s="7"/>
      <c r="N12" s="12">
        <f t="shared" si="0"/>
        <v>9</v>
      </c>
    </row>
    <row r="13" spans="1:22" x14ac:dyDescent="0.35">
      <c r="A13" s="5"/>
      <c r="B13" s="5"/>
      <c r="C13" s="5"/>
      <c r="D13" s="5"/>
      <c r="E13" s="43">
        <f>SUM(E4:E12)</f>
        <v>100</v>
      </c>
      <c r="F13" s="44"/>
      <c r="G13" s="44"/>
      <c r="H13" s="44"/>
      <c r="I13" s="44"/>
      <c r="J13" s="44"/>
      <c r="K13" s="45"/>
      <c r="L13" s="46" t="s">
        <v>49</v>
      </c>
      <c r="M13" s="47"/>
      <c r="N13" s="15">
        <f>SUM(N4:N12)/100</f>
        <v>0.76500000000000001</v>
      </c>
    </row>
    <row r="14" spans="1:22" x14ac:dyDescent="0.3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</row>
    <row r="15" spans="1:22" x14ac:dyDescent="0.3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</row>
  </sheetData>
  <mergeCells count="29">
    <mergeCell ref="F13:K13"/>
    <mergeCell ref="N6:N7"/>
    <mergeCell ref="L13:M13"/>
    <mergeCell ref="B1:J1"/>
    <mergeCell ref="F3:G3"/>
    <mergeCell ref="H3:I3"/>
    <mergeCell ref="J3:K3"/>
    <mergeCell ref="A13:D13"/>
    <mergeCell ref="A14:V15"/>
    <mergeCell ref="B8:D8"/>
    <mergeCell ref="B9:D9"/>
    <mergeCell ref="B10:D10"/>
    <mergeCell ref="B11:D11"/>
    <mergeCell ref="B12:D12"/>
    <mergeCell ref="H6:H7"/>
    <mergeCell ref="I6:I7"/>
    <mergeCell ref="J6:J7"/>
    <mergeCell ref="K6:K7"/>
    <mergeCell ref="L6:L7"/>
    <mergeCell ref="M6:M7"/>
    <mergeCell ref="B5:D5"/>
    <mergeCell ref="A6:A7"/>
    <mergeCell ref="F6:F7"/>
    <mergeCell ref="G6:G7"/>
    <mergeCell ref="B6:D7"/>
    <mergeCell ref="E6:E7"/>
    <mergeCell ref="B4:D4"/>
    <mergeCell ref="L3:M3"/>
    <mergeCell ref="B3:D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Project Presentation Rubric</vt:lpstr>
      <vt:lpstr>Project Report Rubric</vt:lpstr>
      <vt:lpstr>'Project Presentation Rubric'!Print_Area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Kim</dc:creator>
  <cp:lastModifiedBy>Amin Ghobeity</cp:lastModifiedBy>
  <dcterms:created xsi:type="dcterms:W3CDTF">2012-04-19T16:05:50Z</dcterms:created>
  <dcterms:modified xsi:type="dcterms:W3CDTF">2023-09-15T14:23:38Z</dcterms:modified>
</cp:coreProperties>
</file>