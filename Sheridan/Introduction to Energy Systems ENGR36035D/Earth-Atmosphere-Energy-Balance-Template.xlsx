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 Material\Intro to Energy Systems\Earth-Atmosphere-Energy-Balance-Models\"/>
    </mc:Choice>
  </mc:AlternateContent>
  <xr:revisionPtr revIDLastSave="0" documentId="13_ncr:1_{78BFD2AA-49C3-46AA-A31F-1B69B4A4DD3A}" xr6:coauthVersionLast="47" xr6:coauthVersionMax="47" xr10:uidLastSave="{00000000-0000-0000-0000-000000000000}"/>
  <bookViews>
    <workbookView xWindow="-110" yWindow="-110" windowWidth="19420" windowHeight="11500" xr2:uid="{8F8BA430-8459-4CCF-9305-B04444AA1F54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Q22" i="1"/>
  <c r="Q19" i="1"/>
  <c r="Q18" i="1"/>
  <c r="N14" i="1"/>
  <c r="N6" i="1"/>
  <c r="L6" i="1"/>
  <c r="M14" i="1"/>
  <c r="Q4" i="1"/>
  <c r="L14" i="1" s="1"/>
  <c r="K14" i="1"/>
  <c r="J14" i="1"/>
  <c r="H14" i="1"/>
  <c r="J6" i="1"/>
  <c r="I6" i="1"/>
</calcChain>
</file>

<file path=xl/sharedStrings.xml><?xml version="1.0" encoding="utf-8"?>
<sst xmlns="http://schemas.openxmlformats.org/spreadsheetml/2006/main" count="23" uniqueCount="19">
  <si>
    <t>Parameters</t>
  </si>
  <si>
    <t>So</t>
  </si>
  <si>
    <t>W/m2</t>
  </si>
  <si>
    <t>Sigma</t>
  </si>
  <si>
    <t>W/m2.K4</t>
  </si>
  <si>
    <t>aa</t>
  </si>
  <si>
    <t>ta</t>
  </si>
  <si>
    <t>as</t>
  </si>
  <si>
    <t>C</t>
  </si>
  <si>
    <t>tap</t>
  </si>
  <si>
    <t>aap</t>
  </si>
  <si>
    <t>Ts</t>
  </si>
  <si>
    <t>Ta</t>
  </si>
  <si>
    <t>K</t>
  </si>
  <si>
    <t>Check Energy Balance on Earth</t>
  </si>
  <si>
    <t>E_in</t>
  </si>
  <si>
    <t>E_out</t>
  </si>
  <si>
    <t>Check Energy Balance on Atmosphere</t>
  </si>
  <si>
    <t>From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</si>
</sst>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2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2" borderId="1" xfId="0" applyFill="1" applyBorder="1"/>
    <xf numFmtId="164" fontId="1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114300</xdr:rowOff>
    </xdr:from>
    <xdr:to>
      <xdr:col>7</xdr:col>
      <xdr:colOff>127000</xdr:colOff>
      <xdr:row>21</xdr:row>
      <xdr:rowOff>171894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9C4A9-5D50-5D60-8423-4E2B5AE3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50" y="114300"/>
          <a:ext cx="4133850" cy="3924744"/>
        </a:xfrm>
        <a:prstGeom prst="rect">
          <a:avLst/>
        </a:prstGeom>
      </xdr:spPr>
    </xdr:pic>
    <xdr:clientData/>
  </xdr:twoCellAnchor>
  <xdr:twoCellAnchor editAs="oneCell">
    <xdr:from>
      <xdr:col>7</xdr:col>
      <xdr:colOff>311150</xdr:colOff>
      <xdr:row>0</xdr:row>
      <xdr:rowOff>127000</xdr:rowOff>
    </xdr:from>
    <xdr:to>
      <xdr:col>14</xdr:col>
      <xdr:colOff>171450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D27B43-4BD0-4AA1-B76E-CB79E36AD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54" b="79776"/>
        <a:stretch/>
      </xdr:blipFill>
      <xdr:spPr>
        <a:xfrm>
          <a:off x="4578350" y="127000"/>
          <a:ext cx="4127500" cy="79375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6</xdr:row>
      <xdr:rowOff>57150</xdr:rowOff>
    </xdr:from>
    <xdr:to>
      <xdr:col>14</xdr:col>
      <xdr:colOff>171450</xdr:colOff>
      <xdr:row>12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69A08F-1AF4-4857-BE57-4744764C01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476" b="43857"/>
        <a:stretch/>
      </xdr:blipFill>
      <xdr:spPr>
        <a:xfrm>
          <a:off x="4572000" y="1162050"/>
          <a:ext cx="41338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298450</xdr:colOff>
      <xdr:row>14</xdr:row>
      <xdr:rowOff>171450</xdr:rowOff>
    </xdr:from>
    <xdr:to>
      <xdr:col>14</xdr:col>
      <xdr:colOff>165100</xdr:colOff>
      <xdr:row>21</xdr:row>
      <xdr:rowOff>140144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D4EACB-D776-4251-B4E5-79EAF6641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7954"/>
        <a:stretch/>
      </xdr:blipFill>
      <xdr:spPr>
        <a:xfrm>
          <a:off x="4565650" y="2749550"/>
          <a:ext cx="4133850" cy="125774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22</xdr:row>
      <xdr:rowOff>50800</xdr:rowOff>
    </xdr:from>
    <xdr:to>
      <xdr:col>9</xdr:col>
      <xdr:colOff>257004</xdr:colOff>
      <xdr:row>26</xdr:row>
      <xdr:rowOff>67638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CB265F-7FA3-F265-C9EA-DF7AAE00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4102100"/>
          <a:ext cx="5267154" cy="753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D6A7-57F6-45C1-9480-D16DCE10AC09}">
  <dimension ref="H2:T23"/>
  <sheetViews>
    <sheetView tabSelected="1" topLeftCell="A2" workbookViewId="0">
      <selection activeCell="S11" sqref="S11"/>
    </sheetView>
  </sheetViews>
  <sheetFormatPr defaultRowHeight="14.5" x14ac:dyDescent="0.35"/>
  <sheetData>
    <row r="2" spans="8:20" x14ac:dyDescent="0.35">
      <c r="P2" s="2" t="s">
        <v>0</v>
      </c>
    </row>
    <row r="3" spans="8:20" x14ac:dyDescent="0.35">
      <c r="P3" t="s">
        <v>1</v>
      </c>
      <c r="Q3">
        <v>1368</v>
      </c>
      <c r="R3" t="s">
        <v>2</v>
      </c>
    </row>
    <row r="4" spans="8:20" x14ac:dyDescent="0.35">
      <c r="P4" t="s">
        <v>3</v>
      </c>
      <c r="Q4" s="1">
        <f>0.0000000567</f>
        <v>5.6699999999999998E-8</v>
      </c>
      <c r="R4" t="s">
        <v>4</v>
      </c>
    </row>
    <row r="6" spans="8:20" x14ac:dyDescent="0.35">
      <c r="I6" s="4">
        <f>Q3/4</f>
        <v>342</v>
      </c>
      <c r="J6" s="5">
        <f>Q6*I6</f>
        <v>102.6</v>
      </c>
      <c r="L6" s="5">
        <f>Q10*L14</f>
        <v>23.848412510651627</v>
      </c>
      <c r="N6" s="7">
        <f>Q4*Q15^4</f>
        <v>215.55172529793086</v>
      </c>
      <c r="P6" t="s">
        <v>5</v>
      </c>
      <c r="Q6">
        <v>0.3</v>
      </c>
    </row>
    <row r="7" spans="8:20" x14ac:dyDescent="0.35">
      <c r="P7" t="s">
        <v>6</v>
      </c>
      <c r="Q7">
        <v>0.53</v>
      </c>
    </row>
    <row r="8" spans="8:20" x14ac:dyDescent="0.35">
      <c r="P8" t="s">
        <v>7</v>
      </c>
      <c r="Q8">
        <v>0.11</v>
      </c>
    </row>
    <row r="9" spans="8:20" x14ac:dyDescent="0.35">
      <c r="P9" t="s">
        <v>8</v>
      </c>
      <c r="Q9">
        <v>2.5</v>
      </c>
    </row>
    <row r="10" spans="8:20" x14ac:dyDescent="0.35">
      <c r="P10" t="s">
        <v>9</v>
      </c>
      <c r="Q10">
        <v>0.06</v>
      </c>
    </row>
    <row r="11" spans="8:20" x14ac:dyDescent="0.35">
      <c r="P11" t="s">
        <v>10</v>
      </c>
      <c r="Q11">
        <v>0.31</v>
      </c>
    </row>
    <row r="14" spans="8:20" x14ac:dyDescent="0.35">
      <c r="H14" s="9">
        <f>Q7*I6</f>
        <v>181.26000000000002</v>
      </c>
      <c r="I14" s="9"/>
      <c r="J14" s="6">
        <f>Q8*H14</f>
        <v>19.938600000000001</v>
      </c>
      <c r="K14" s="6">
        <f>Q9*(Q14-Q15)</f>
        <v>102.61600000000008</v>
      </c>
      <c r="L14" s="6">
        <f>Q4*Q14^4</f>
        <v>397.47354184419379</v>
      </c>
      <c r="M14" s="7">
        <f>Q11*L14</f>
        <v>123.21679797170007</v>
      </c>
      <c r="N14" s="5">
        <f>Q4*Q15^4</f>
        <v>215.55172529793086</v>
      </c>
      <c r="P14" s="8" t="s">
        <v>11</v>
      </c>
      <c r="Q14" s="8">
        <v>289.35520000000002</v>
      </c>
      <c r="R14" s="8" t="s">
        <v>13</v>
      </c>
      <c r="S14" s="10" t="s">
        <v>18</v>
      </c>
      <c r="T14" s="11"/>
    </row>
    <row r="15" spans="8:20" x14ac:dyDescent="0.35">
      <c r="P15" s="8" t="s">
        <v>12</v>
      </c>
      <c r="Q15" s="8">
        <v>248.30879999999999</v>
      </c>
      <c r="R15" s="8" t="s">
        <v>13</v>
      </c>
      <c r="S15" s="10" t="s">
        <v>18</v>
      </c>
      <c r="T15" s="11"/>
    </row>
    <row r="17" spans="16:17" x14ac:dyDescent="0.35">
      <c r="P17" s="2" t="s">
        <v>14</v>
      </c>
    </row>
    <row r="18" spans="16:17" x14ac:dyDescent="0.35">
      <c r="P18" t="s">
        <v>15</v>
      </c>
      <c r="Q18" s="3">
        <f>H14+M14+N14</f>
        <v>520.02852326963091</v>
      </c>
    </row>
    <row r="19" spans="16:17" x14ac:dyDescent="0.35">
      <c r="P19" t="s">
        <v>16</v>
      </c>
      <c r="Q19" s="3">
        <f>J14+K14+L14</f>
        <v>520.0281418441939</v>
      </c>
    </row>
    <row r="21" spans="16:17" x14ac:dyDescent="0.35">
      <c r="P21" s="2" t="s">
        <v>17</v>
      </c>
    </row>
    <row r="22" spans="16:17" x14ac:dyDescent="0.35">
      <c r="P22" t="s">
        <v>15</v>
      </c>
      <c r="Q22" s="3">
        <f>I6+J14+K14+L14</f>
        <v>862.0281418441939</v>
      </c>
    </row>
    <row r="23" spans="16:17" x14ac:dyDescent="0.35">
      <c r="P23" t="s">
        <v>16</v>
      </c>
      <c r="Q23" s="3">
        <f>J6+L6+N6+H14+M14+N14</f>
        <v>862.02866107821342</v>
      </c>
    </row>
  </sheetData>
  <mergeCells count="3">
    <mergeCell ref="H14:I14"/>
    <mergeCell ref="S14:T14"/>
    <mergeCell ref="S15:T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Ghobeity</dc:creator>
  <cp:lastModifiedBy>Amin Ghobeity</cp:lastModifiedBy>
  <dcterms:created xsi:type="dcterms:W3CDTF">2023-10-04T17:45:35Z</dcterms:created>
  <dcterms:modified xsi:type="dcterms:W3CDTF">2024-09-24T16:50:38Z</dcterms:modified>
</cp:coreProperties>
</file>